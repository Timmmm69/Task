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3c127843e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99cb60e293b424d"/>
    <x:sheet xmlns:r="http://schemas.openxmlformats.org/officeDocument/2006/relationships" name="Stage Status" sheetId="2" r:id="Re667ec5717f24e87"/>
    <x:sheet xmlns:r="http://schemas.openxmlformats.org/officeDocument/2006/relationships" name="Kanban" sheetId="3" r:id="R1d126456fb91496d"/>
    <x:sheet xmlns:r="http://schemas.openxmlformats.org/officeDocument/2006/relationships" name="Task Register" sheetId="4" r:id="Ra1a42222800c4f30"/>
    <x:sheet xmlns:r="http://schemas.openxmlformats.org/officeDocument/2006/relationships" name="Decisions" sheetId="5" r:id="R0152aa1e4c9a4df7"/>
    <x:sheet xmlns:r="http://schemas.openxmlformats.org/officeDocument/2006/relationships" name="Risks" sheetId="6" r:id="R7fefd2f057bb409b"/>
    <x:sheet xmlns:r="http://schemas.openxmlformats.org/officeDocument/2006/relationships" name="Change Log" sheetId="7" r:id="R5ce63d6cc03340e3"/>
    <x:sheet xmlns:r="http://schemas.openxmlformats.org/officeDocument/2006/relationships" name="SCR Coverage" sheetId="8" r:id="Rf03b7880e4974b8c"/>
    <x:sheet xmlns:r="http://schemas.openxmlformats.org/officeDocument/2006/relationships" name="FLOW Coverage" sheetId="9" r:id="R4e33c02921d346c0"/>
    <x:sheet xmlns:r="http://schemas.openxmlformats.org/officeDocument/2006/relationships" name="STATE Coverage" sheetId="10" r:id="R8828083b653b46a5"/>
    <x:sheet xmlns:r="http://schemas.openxmlformats.org/officeDocument/2006/relationships" name="NFR Coverage" sheetId="11" r:id="Rc83b9d964d084f80"/>
    <x:sheet xmlns:r="http://schemas.openxmlformats.org/officeDocument/2006/relationships" name="Component Usage" sheetId="12" r:id="R8d295c20bdde413a"/>
    <x:sheet xmlns:r="http://schemas.openxmlformats.org/officeDocument/2006/relationships" name="Implementation Specs" sheetId="13" r:id="R7f529c169a1b425c"/>
    <x:sheet xmlns:r="http://schemas.openxmlformats.org/officeDocument/2006/relationships" name="Vertical Slice" sheetId="14" r:id="R95a6a906b5664c2b"/>
    <x:sheet xmlns:r="http://schemas.openxmlformats.org/officeDocument/2006/relationships" name="Role Matrix" sheetId="15" r:id="R06173d0ec0774efa"/>
    <x:sheet xmlns:r="http://schemas.openxmlformats.org/officeDocument/2006/relationships" name="State Components" sheetId="16" r:id="Rc437b8c89d8f4c27"/>
    <x:sheet xmlns:r="http://schemas.openxmlformats.org/officeDocument/2006/relationships" name="Usability Script" sheetId="17" r:id="R48c35fdbae46478b"/>
    <x:sheet xmlns:r="http://schemas.openxmlformats.org/officeDocument/2006/relationships" name="VIS Scorecard" sheetId="18" r:id="R8f5b1a60453f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%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4213D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sz val="11"/>
      <x:color rgb="FF14213D"/>
      <x:name val="Carlito"/>
    </x:font>
    <x:font>
      <x:b/>
      <x:sz val="13"/>
      <x:color rgb="FF14213D"/>
      <x:name val="Carlito"/>
    </x:font>
    <x:font>
      <x:sz val="11"/>
      <x:color rgb="FF6B4600"/>
      <x:name val="Carlito"/>
    </x:font>
    <x:font>
      <x:b/>
      <x:sz val="13"/>
      <x:color rgb="FF146C43"/>
      <x:name val="Carlito"/>
    </x:font>
    <x:font>
      <x:b/>
      <x:sz val="11"/>
      <x:color rgb="FF14213D"/>
      <x:name val="Carlito"/>
    </x:font>
    <x:font>
      <x:b/>
      <x:sz val="20"/>
      <x:color rgb="FFFFFFFF"/>
      <x:name val="Carlito"/>
    </x:font>
    <x:font>
      <x:b/>
      <x:sz val="14"/>
      <x:color rgb="FF146C43"/>
      <x:name val="Carlito"/>
    </x:font>
    <x:font>
      <x:b/>
      <x:sz val="11"/>
      <x:color rgb="FF146C4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2FF"/>
      </x:patternFill>
    </x:fill>
    <x:fill>
      <x:patternFill patternType="solid">
        <x:fgColor rgb="FFDCE9FF"/>
      </x:patternFill>
    </x:fill>
    <x:fill>
      <x:patternFill patternType="solid">
        <x:fgColor rgb="FFFFF0CF"/>
      </x:patternFill>
    </x:fill>
    <x:fill>
      <x:patternFill patternType="solid">
        <x:fgColor rgb="FFDDF3E8"/>
      </x:patternFill>
    </x:fill>
    <x:fill>
      <x:patternFill patternType="solid">
        <x:fgColor rgb="FFE8EEF8"/>
      </x:patternFill>
    </x:fill>
    <x:fill>
      <x:patternFill patternType="solid">
        <x:fgColor rgb="FFFFFFFF"/>
      </x:patternFill>
    </x:fill>
  </x:fills>
  <x:borders count="14">
    <x:border/>
    <x:border>
      <x:right style="thin">
        <x:color rgb="FFE7ECF3"/>
      </x:right>
      <x:bottom style="thin">
        <x:color rgb="FFE7ECF3"/>
      </x:bottom>
    </x:border>
    <x:border>
      <x:left style="thin">
        <x:color rgb="FFE7ECF3"/>
      </x:left>
      <x:right style="thin">
        <x:color rgb="FFE7ECF3"/>
      </x:right>
      <x:bottom style="thin">
        <x:color rgb="FFE7ECF3"/>
      </x:bottom>
    </x:border>
    <x:border>
      <x:left style="thin">
        <x:color rgb="FFE7ECF3"/>
      </x:left>
      <x:bottom style="thin">
        <x:color rgb="FFE7ECF3"/>
      </x:bottom>
    </x:border>
    <x:border>
      <x:right style="thin">
        <x:color rgb="FFE7ECF3"/>
      </x:right>
      <x:top style="thin">
        <x:color rgb="FFE7ECF3"/>
      </x:top>
      <x:bottom style="thin">
        <x:color rgb="FFE7ECF3"/>
      </x:bottom>
    </x:border>
    <x:border>
      <x:left style="thin">
        <x:color rgb="FFE7ECF3"/>
      </x:left>
      <x:right style="thin">
        <x:color rgb="FFE7ECF3"/>
      </x:right>
      <x:top style="thin">
        <x:color rgb="FFE7ECF3"/>
      </x:top>
      <x:bottom style="thin">
        <x:color rgb="FFE7ECF3"/>
      </x:bottom>
    </x:border>
    <x:border>
      <x:left style="thin">
        <x:color rgb="FFE7ECF3"/>
      </x:left>
      <x:top style="thin">
        <x:color rgb="FFE7ECF3"/>
      </x:top>
      <x:bottom style="thin">
        <x:color rgb="FFE7ECF3"/>
      </x:bottom>
    </x:border>
    <x:border>
      <x:right style="thin">
        <x:color rgb="FFE7ECF3"/>
      </x:right>
      <x:top style="thin">
        <x:color rgb="FFE7ECF3"/>
      </x:top>
    </x:border>
    <x:border>
      <x:left style="thin">
        <x:color rgb="FFE7ECF3"/>
      </x:left>
      <x:right style="thin">
        <x:color rgb="FFE7ECF3"/>
      </x:right>
      <x:top style="thin">
        <x:color rgb="FFE7ECF3"/>
      </x:top>
    </x:border>
    <x:border>
      <x:left style="thin">
        <x:color rgb="FFE7ECF3"/>
      </x:left>
      <x:top style="thin">
        <x:color rgb="FFE7ECF3"/>
      </x:top>
    </x:border>
    <x:border>
      <x:left style="thin">
        <x:color rgb="FFD9E1EC"/>
      </x:left>
      <x:top style="thin">
        <x:color rgb="FFD9E1EC"/>
      </x:top>
      <x:bottom style="thin">
        <x:color rgb="FFD9E1EC"/>
      </x:bottom>
    </x:border>
    <x:border>
      <x:top style="thin">
        <x:color rgb="FFD9E1EC"/>
      </x:top>
      <x:bottom style="thin">
        <x:color rgb="FFD9E1EC"/>
      </x:bottom>
    </x:border>
    <x:border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4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7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4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0" fillId="0" borderId="13" xfId="0" applyNumberFormat="1" applyFont="1" applyFill="1" applyBorder="1"/>
    <x:xf numFmtId="202" fontId="0" fillId="0" borderId="13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3" xfId="0" applyNumberFormat="1" applyFont="1" applyFill="1" applyBorder="1"/>
    <x:xf numFmtId="0" fontId="0" fillId="8" borderId="13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5"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164E9B"/>
      </x:font>
      <x:fill>
        <x:patternFill patternType="solid">
          <x:bgColor rgb="FFDCE9FF"/>
        </x:patternFill>
      </x:fill>
    </x:dxf>
    <x:dxf>
      <x:font>
        <x:b/>
        <x:color rgb="FFA12727"/>
      </x:font>
      <x:fill>
        <x:patternFill patternType="solid">
          <x:bgColor rgb="FFFDE3E3"/>
        </x:patternFill>
      </x:fill>
    </x:dxf>
    <x:dxf>
      <x:font>
        <x:b/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164E9B"/>
      </x:font>
      <x:fill>
        <x:patternFill patternType="solid">
          <x:bgColor rgb="FFDCE9FF"/>
        </x:patternFill>
      </x:fill>
    </x:dxf>
    <x:dxf>
      <x:font>
        <x:b/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164E9B"/>
      </x:font>
      <x:fill>
        <x:patternFill patternType="solid">
          <x:bgColor rgb="FFDCE9FF"/>
        </x:patternFill>
      </x:fill>
    </x:dxf>
    <x:dxf>
      <x:font>
        <x:b/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A12727"/>
      </x:font>
      <x:fill>
        <x:patternFill patternType="solid">
          <x:bgColor rgb="FFFDE3E3"/>
        </x:patternFill>
      </x:fill>
    </x:dxf>
    <x:dxf>
      <x:font>
        <x:b/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8A5600"/>
      </x:font>
      <x:fill>
        <x:patternFill patternType="solid">
          <x:bgColor rgb="FFFFF0CF"/>
        </x:patternFill>
      </x:fill>
    </x:dxf>
    <x:dxf>
      <x:font>
        <x:b/>
        <x:color rgb="FFA12727"/>
      </x:font>
      <x:fill>
        <x:patternFill patternType="solid">
          <x:bgColor rgb="FFFDE3E3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b/>
        <x:color rgb="FF8A5600"/>
      </x:font>
      <x:fill>
        <x:patternFill patternType="solid">
          <x:bgColor rgb="FFFFF0CF"/>
        </x:patternFill>
      </x:fill>
    </x:dxf>
    <x:dxf>
      <x:font>
        <x:b/>
        <x:color rgb="FFA12727"/>
      </x:font>
      <x:fill>
        <x:patternFill patternType="solid">
          <x:bgColor rgb="FFFDE3E3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  <x:dxf>
      <x:font>
        <x:b/>
        <x:color rgb="FF146C43"/>
      </x:font>
      <x:fill>
        <x:patternFill patternType="solid">
          <x:bgColor rgb="FFDDF3E8"/>
        </x:patternFill>
      </x:fill>
    </x:dxf>
    <x:dxf>
      <x:font>
        <x:color rgb="FF8A56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07877ed814028" /><Relationship Type="http://schemas.openxmlformats.org/officeDocument/2006/relationships/theme" Target="/xl/theme/theme1.xml" Id="R5ff816a11a324d0c" /><Relationship Type="http://schemas.openxmlformats.org/officeDocument/2006/relationships/sharedStrings" Target="/xl/sharedStrings.xml" Id="Reb374a27ad3144a0" /><Relationship Type="http://schemas.openxmlformats.org/officeDocument/2006/relationships/worksheet" Target="/xl/worksheets/sheet1.xml" Id="R999cb60e293b424d" /><Relationship Type="http://schemas.openxmlformats.org/officeDocument/2006/relationships/worksheet" Target="/xl/worksheets/sheet2.xml" Id="Re667ec5717f24e87" /><Relationship Type="http://schemas.openxmlformats.org/officeDocument/2006/relationships/worksheet" Target="/xl/worksheets/sheet3.xml" Id="R1d126456fb91496d" /><Relationship Type="http://schemas.openxmlformats.org/officeDocument/2006/relationships/worksheet" Target="/xl/worksheets/sheet4.xml" Id="Ra1a42222800c4f30" /><Relationship Type="http://schemas.openxmlformats.org/officeDocument/2006/relationships/worksheet" Target="/xl/worksheets/sheet5.xml" Id="R0152aa1e4c9a4df7" /><Relationship Type="http://schemas.openxmlformats.org/officeDocument/2006/relationships/worksheet" Target="/xl/worksheets/sheet6.xml" Id="R7fefd2f057bb409b" /><Relationship Type="http://schemas.openxmlformats.org/officeDocument/2006/relationships/worksheet" Target="/xl/worksheets/sheet7.xml" Id="R5ce63d6cc03340e3" /><Relationship Type="http://schemas.openxmlformats.org/officeDocument/2006/relationships/worksheet" Target="/xl/worksheets/sheet8.xml" Id="Rf03b7880e4974b8c" /><Relationship Type="http://schemas.openxmlformats.org/officeDocument/2006/relationships/worksheet" Target="/xl/worksheets/sheet9.xml" Id="R4e33c02921d346c0" /><Relationship Type="http://schemas.openxmlformats.org/officeDocument/2006/relationships/worksheet" Target="/xl/worksheets/sheet10.xml" Id="R8828083b653b46a5" /><Relationship Type="http://schemas.openxmlformats.org/officeDocument/2006/relationships/worksheet" Target="/xl/worksheets/sheet11.xml" Id="Rc83b9d964d084f80" /><Relationship Type="http://schemas.openxmlformats.org/officeDocument/2006/relationships/worksheet" Target="/xl/worksheets/sheet12.xml" Id="R8d295c20bdde413a" /><Relationship Type="http://schemas.openxmlformats.org/officeDocument/2006/relationships/worksheet" Target="/xl/worksheets/sheet13.xml" Id="R7f529c169a1b425c" /><Relationship Type="http://schemas.openxmlformats.org/officeDocument/2006/relationships/worksheet" Target="/xl/worksheets/sheet14.xml" Id="R95a6a906b5664c2b" /><Relationship Type="http://schemas.openxmlformats.org/officeDocument/2006/relationships/worksheet" Target="/xl/worksheets/sheet15.xml" Id="R06173d0ec0774efa" /><Relationship Type="http://schemas.openxmlformats.org/officeDocument/2006/relationships/worksheet" Target="/xl/worksheets/sheet16.xml" Id="Rc437b8c89d8f4c27" /><Relationship Type="http://schemas.openxmlformats.org/officeDocument/2006/relationships/worksheet" Target="/xl/worksheets/sheet17.xml" Id="R48c35fdbae46478b" /><Relationship Type="http://schemas.openxmlformats.org/officeDocument/2006/relationships/worksheet" Target="/xl/worksheets/sheet18.xml" Id="R8f5b1a60453f4b58" /></Relationships>
</file>

<file path=xl/tables/table1.xml><?xml version="1.0" encoding="utf-8"?>
<x:table xmlns:x="http://schemas.openxmlformats.org/spreadsheetml/2006/main" id="2" name="StageDeliveryStatus" displayName="StageDeliveryStatus" ref="A4:G11" headerRowCount="1" totalsRowCount="0" totalsRowShown="0">
  <x:tableColumns count="7">
    <x:tableColumn id="1" name="Stage"/>
    <x:tableColumn id="2" name="Accepted delivery baseline"/>
    <x:tableColumn id="3" name="Task-derived progress"/>
    <x:tableColumn id="4" name="Reported delivery completion"/>
    <x:tableColumn id="5" name="Gate status"/>
    <x:tableColumn id="6" name="Open verification / decisions"/>
    <x:tableColumn id="7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age5Tasks" displayName="Stage5Tasks" ref="A4:Q60" headerRowCount="1" totalsRowCount="0" totalsRowShown="0">
  <x:tableColumns count="17">
    <x:tableColumn id="1" name="ID"/>
    <x:tableColumn id="2" name="Stage"/>
    <x:tableColumn id="3" name="Workstream"/>
    <x:tableColumn id="4" name="Gate"/>
    <x:tableColumn id="5" name="Priority"/>
    <x:tableColumn id="6" name="Task"/>
    <x:tableColumn id="7" name="Status"/>
    <x:tableColumn id="8" name="Owner"/>
    <x:tableColumn id="9" name="Dependency"/>
    <x:tableColumn id="10" name="Start"/>
    <x:tableColumn id="11" name="Target"/>
    <x:tableColumn id="12" name="Progress"/>
    <x:tableColumn id="13" name="Evidence"/>
    <x:tableColumn id="14" name="Canonical source"/>
    <x:tableColumn id="15" name="Last update"/>
    <x:tableColumn id="16" name="Next action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5Decisions" displayName="Stage5Decisions" ref="A4:I9" headerRowCount="1" totalsRowCount="0" totalsRowShown="0">
  <x:tableColumns count="9">
    <x:tableColumn id="1" name="ID"/>
    <x:tableColumn id="2" name="Stage"/>
    <x:tableColumn id="3" name="Decision"/>
    <x:tableColumn id="4" name="Required action"/>
    <x:tableColumn id="5" name="Owner"/>
    <x:tableColumn id="6" name="Status"/>
    <x:tableColumn id="7" name="Due"/>
    <x:tableColumn id="8" name="Impact"/>
    <x:tableColumn id="9" name="Related tas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5Risks" displayName="Stage5Risks" ref="A4:H10" headerRowCount="1" totalsRowCount="0" totalsRowShown="0">
  <x:tableColumns count="8">
    <x:tableColumn id="1" name="ID"/>
    <x:tableColumn id="2" name="Severity"/>
    <x:tableColumn id="3" name="Risk"/>
    <x:tableColumn id="4" name="Consequence"/>
    <x:tableColumn id="5" name="Mitigation"/>
    <x:tableColumn id="6" name="Owner"/>
    <x:tableColumn id="7" name="Status"/>
    <x:tableColumn id="8" name="Related tas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6" name="Stage5Changes" displayName="Stage5Changes" ref="A4:F34" headerRowCount="1" totalsRowCount="0" totalsRowShown="0">
  <x:tableColumns count="6">
    <x:tableColumn id="1" name="Date"/>
    <x:tableColumn id="2" name="Version"/>
    <x:tableColumn id="3" name="Changed by"/>
    <x:tableColumn id="4" name="Change"/>
    <x:tableColumn id="5" name="Affected tasks"/>
    <x:tableColumn id="6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tage5SCRCoverage" displayName="Stage5SCRCoverage" ref="A4:L132" headerRowCount="1" totalsRowCount="0" totalsRowShown="0">
  <x:tableColumns count="12">
    <x:tableColumn id="1" name="SCR ID"/>
    <x:tableColumn id="2" name="Module"/>
    <x:tableColumn id="3" name="Surface"/>
    <x:tableColumn id="4" name="Type"/>
    <x:tableColumn id="5" name="Pattern"/>
    <x:tableColumn id="6" name="Priority"/>
    <x:tableColumn id="7" name="Shared components"/>
    <x:tableColumn id="8" name="States"/>
    <x:tableColumn id="9" name="Style dependency"/>
    <x:tableColumn id="10" name="Mapping"/>
    <x:tableColumn id="11" name="Required design evidence"/>
    <x:tableColumn id="12" name="Evidence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tage5FLOWCoverage" displayName="Stage5FLOWCoverage" ref="A4:M41" headerRowCount="1" totalsRowCount="0" totalsRowShown="0">
  <x:tableColumns count="13">
    <x:tableColumn id="1" name="FLOW ID"/>
    <x:tableColumn id="2" name="Scenario group"/>
    <x:tableColumn id="3" name="Flow"/>
    <x:tableColumn id="4" name="Roles"/>
    <x:tableColumn id="5" name="Outcome"/>
    <x:tableColumn id="6" name="SCR references"/>
    <x:tableColumn id="7" name="STATE references"/>
    <x:tableColumn id="8" name="Modules"/>
    <x:tableColumn id="9" name="Shared components"/>
    <x:tableColumn id="10" name="Priority"/>
    <x:tableColumn id="11" name="Mapping"/>
    <x:tableColumn id="12" name="Required design evidence"/>
    <x:tableColumn id="13" name="Evidence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tage5STATECoverage" displayName="Stage5STATECoverage" ref="A4:J34" headerRowCount="1" totalsRowCount="0" totalsRowShown="0">
  <x:tableColumns count="10">
    <x:tableColumn id="1" name="STATE reference"/>
    <x:tableColumn id="2" name="Resolution"/>
    <x:tableColumn id="3" name="Canonical target"/>
    <x:tableColumn id="4" name="Canonical source"/>
    <x:tableColumn id="5" name="Behavior completeness"/>
    <x:tableColumn id="6" name="Hidden new STATE"/>
    <x:tableColumn id="7" name="Canonical result"/>
    <x:tableColumn id="8" name="Canonical evidence"/>
    <x:tableColumn id="9" name="Required design evidence"/>
    <x:tableColumn id="10" name="Design evidence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Stage5NFRCoverage" displayName="Stage5NFRCoverage" ref="A4:J29" headerRowCount="1" totalsRowCount="0" totalsRowShown="0">
  <x:tableColumns count="10">
    <x:tableColumn id="1" name="NFR ID"/>
    <x:tableColumn id="2" name="Area"/>
    <x:tableColumn id="3" name="Requirement"/>
    <x:tableColumn id="4" name="Target"/>
    <x:tableColumn id="5" name="Measurement"/>
    <x:tableColumn id="6" name="Modules"/>
    <x:tableColumn id="7" name="Canonical source"/>
    <x:tableColumn id="8" name="Required Stage 5 evidence"/>
    <x:tableColumn id="9" name="Mapping"/>
    <x:tableColumn id="10" name="Evidence 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tage5ComponentUsage" displayName="Stage5ComponentUsage" ref="A4:R49" headerRowCount="1" totalsRowCount="0" totalsRowShown="0">
  <x:tableColumns count="18">
    <x:tableColumn id="1" name="Component ID"/>
    <x:tableColumn id="2" name="Component"/>
    <x:tableColumn id="3" name="Library path"/>
    <x:tableColumn id="4" name="Library tier"/>
    <x:tableColumn id="5" name="Priority"/>
    <x:tableColumn id="6" name="Surface count"/>
    <x:tableColumn id="7" name="SCR IDs"/>
    <x:tableColumn id="8" name="FLOW count"/>
    <x:tableColumn id="9" name="Required variants"/>
    <x:tableColumn id="10" name="Related canonical STATE"/>
    <x:tableColumn id="11" name="Related NFR"/>
    <x:tableColumn id="12" name="Behavior contract"/>
    <x:tableColumn id="13" name="Failure rule"/>
    <x:tableColumn id="14" name="Implementation readiness"/>
    <x:tableColumn id="15" name="Evidence"/>
    <x:tableColumn id="16" name="Remaining verification"/>
    <x:tableColumn id="17" name="Spec version"/>
    <x:tableColumn id="18" name="Freeze 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Stage5ImplementationSpecs" displayName="Stage5ImplementationSpecs" ref="A4:Q49" headerRowCount="1" totalsRowCount="0" totalsRowShown="0">
  <x:tableColumns count="17">
    <x:tableColumn id="1" name="Component ID"/>
    <x:tableColumn id="2" name="Component"/>
    <x:tableColumn id="3" name="Library path"/>
    <x:tableColumn id="4" name="Priority"/>
    <x:tableColumn id="5" name="Purpose"/>
    <x:tableColumn id="6" name="Anatomy"/>
    <x:tableColumn id="7" name="Required variants"/>
    <x:tableColumn id="8" name="State inputs"/>
    <x:tableColumn id="9" name="Required NFR"/>
    <x:tableColumn id="10" name="Keyboard contract"/>
    <x:tableColumn id="11" name="UIA contract"/>
    <x:tableColumn id="12" name="Scaling contract"/>
    <x:tableColumn id="13" name="Failure rule"/>
    <x:tableColumn id="14" name="Implementation readiness"/>
    <x:tableColumn id="15" name="Evidence"/>
    <x:tableColumn id="16" name="Remaining verification"/>
    <x:tableColumn id="17" name="Spec vers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Stage5VerticalSlice" displayName="Stage5VerticalSlice" ref="A4:S14" headerRowCount="1" totalsRowCount="0" totalsRowShown="0">
  <x:tableColumns count="19">
    <x:tableColumn id="1" name="Slice"/>
    <x:tableColumn id="2" name="FLOW ID"/>
    <x:tableColumn id="3" name="Flow"/>
    <x:tableColumn id="4" name="Roles"/>
    <x:tableColumn id="5" name="Permission"/>
    <x:tableColumn id="6" name="API"/>
    <x:tableColumn id="7" name="Outcome"/>
    <x:tableColumn id="8" name="SCR references"/>
    <x:tableColumn id="9" name="Entry points"/>
    <x:tableColumn id="10" name="Required states"/>
    <x:tableColumn id="11" name="Required errors"/>
    <x:tableColumn id="12" name="Shared components"/>
    <x:tableColumn id="13" name="Test fixture"/>
    <x:tableColumn id="14" name="Critical-path acceptance"/>
    <x:tableColumn id="15" name="Keyboard contract"/>
    <x:tableColumn id="16" name="Required design evidence"/>
    <x:tableColumn id="17" name="Accessibility evidence"/>
    <x:tableColumn id="18" name="Contract status"/>
    <x:tableColumn id="19" name="Visual 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Stage5RoleMatrix" displayName="Stage5RoleMatrix" ref="A4:O42" headerRowCount="1" totalsRowCount="0" totalsRowShown="0">
  <x:tableColumns count="15">
    <x:tableColumn id="1" name="Role contract ID"/>
    <x:tableColumn id="2" name="Screen/action"/>
    <x:tableColumn id="3" name="Admin"/>
    <x:tableColumn id="4" name="Manager"/>
    <x:tableColumn id="5" name="Employee"/>
    <x:tableColumn id="6" name="Observer"/>
    <x:tableColumn id="7" name="Permission/capability"/>
    <x:tableColumn id="8" name="UI/server policy"/>
    <x:tableColumn id="9" name="Required presentation states"/>
    <x:tableColumn id="10" name="Required components"/>
    <x:tableColumn id="11" name="Design evidence"/>
    <x:tableColumn id="12" name="Accessibility evidence"/>
    <x:tableColumn id="13" name="Canonical source"/>
    <x:tableColumn id="14" name="Contract status"/>
    <x:tableColumn id="15" name="Visual 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Stage5StateComponents" displayName="Stage5StateComponents" ref="A4:P60" headerRowCount="1" totalsRowCount="0" totalsRowShown="0">
  <x:tableColumns count="16">
    <x:tableColumn id="1" name="State contract ID"/>
    <x:tableColumn id="2" name="STATE references"/>
    <x:tableColumn id="3" name="Surface"/>
    <x:tableColumn id="4" name="State"/>
    <x:tableColumn id="5" name="Trigger"/>
    <x:tableColumn id="6" name="UI behavior"/>
    <x:tableColumn id="7" name="Allowed actions"/>
    <x:tableColumn id="8" name="Message"/>
    <x:tableColumn id="9" name="Recovery"/>
    <x:tableColumn id="10" name="API/error"/>
    <x:tableColumn id="11" name="Required components"/>
    <x:tableColumn id="12" name="Required design evidence"/>
    <x:tableColumn id="13" name="Accessibility evidence"/>
    <x:tableColumn id="14" name="Canonical source"/>
    <x:tableColumn id="15" name="Contract status"/>
    <x:tableColumn id="16" name="Visual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Stage5UsabilityScript" displayName="Stage5UsabilityScript" ref="A4:S14" headerRowCount="1" totalsRowCount="0" totalsRowShown="0">
  <x:tableColumns count="19">
    <x:tableColumn id="1" name="Test case ID"/>
    <x:tableColumn id="2" name="Slice"/>
    <x:tableColumn id="3" name="FLOW ID"/>
    <x:tableColumn id="4" name="Participant role"/>
    <x:tableColumn id="5" name="Scenario"/>
    <x:tableColumn id="6" name="Starting fixture"/>
    <x:tableColumn id="7" name="Task prompt"/>
    <x:tableColumn id="8" name="Critical success"/>
    <x:tableColumn id="9" name="Keyboard checkpoint"/>
    <x:tableColumn id="10" name="Accessibility checkpoint"/>
    <x:tableColumn id="11" name="Primary metric"/>
    <x:tableColumn id="12" name="Secondary metrics"/>
    <x:tableColumn id="13" name="Stop condition"/>
    <x:tableColumn id="14" name="Moderator prompt"/>
    <x:tableColumn id="15" name="Evidence capture"/>
    <x:tableColumn id="16" name="Pass threshold"/>
    <x:tableColumn id="17" name="Design dependency"/>
    <x:tableColumn id="18" name="Script status"/>
    <x:tableColumn id="19" name="Execution 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Stage5VISScorecard" displayName="Stage5VISScorecard" ref="A4:J11" headerRowCount="1" totalsRowCount="0" totalsRowShown="0">
  <x:tableColumns count="10">
    <x:tableColumn id="1" name="Criterion ID"/>
    <x:tableColumn id="2" name="Criterion"/>
    <x:tableColumn id="3" name="Weight"/>
    <x:tableColumn id="4" name="Direction 1 score"/>
    <x:tableColumn id="5" name="Direction 1 evidence"/>
    <x:tableColumn id="6" name="Direction 2 score"/>
    <x:tableColumn id="7" name="Direction 2 evidence"/>
    <x:tableColumn id="8" name="Direction 3 score"/>
    <x:tableColumn id="9" name="Direction 3 evidence"/>
    <x:tableColumn id="10" name="Canonical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1bb2ff61d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1ea301cc8724e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d1a0f22d94d42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c47df01fc3f47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f25fbbd272e44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68f8b4aa8ac4b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8f72c843b7144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c11c828691144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97bf9a3f3440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1acddab45b640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9344e4eedf04db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7efeecece3b74e9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d8ad5f8270d6470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23672a243be4fc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08bbf20673f4416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1a54936543b645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3" t="str">
        <x:v>Stage 5 — Task Board</x:v>
      </x:c>
      <x:c r="B1" s="43"/>
      <x:c r="C1" s="43"/>
      <x:c r="D1" s="43"/>
      <x:c r="E1" s="43"/>
      <x:c r="F1" s="43"/>
      <x:c r="G1" s="43"/>
      <x:c r="H1" s="43"/>
    </x:row>
    <x:row r="2" ht="30" customHeight="1">
      <x:c r="A2" s="43"/>
      <x:c r="B2" s="43"/>
      <x:c r="C2" s="43"/>
      <x:c r="D2" s="43"/>
      <x:c r="E2" s="43"/>
      <x:c r="F2" s="43"/>
      <x:c r="G2" s="43"/>
      <x:c r="H2" s="43"/>
    </x:row>
    <x:row r="3">
      <x:c r="A3" s="45" t="str">
        <x:v>Обновлено: 2026-08-02 · Активная цель: выполнить Stage 5 · Сейчас: 5.0–5.2 delivery = 100%; Stage 5.3 = 85%; Stage 5.4 = 76%; Stage 5.5 = 69%; Stage 5.6 = 80%; Gate readiness отдельно</x:v>
      </x:c>
      <x:c r="B3" s="45"/>
      <x:c r="C3" s="45"/>
      <x:c r="D3" s="45"/>
      <x:c r="E3" s="45"/>
      <x:c r="F3" s="45"/>
      <x:c r="G3" s="45"/>
      <x:c r="H3" s="45"/>
    </x:row>
    <x:row r="5">
      <x:c r="A5" s="10" t="str">
        <x:v>Показатель</x:v>
      </x:c>
      <x:c r="B5" s="10" t="str">
        <x:v>Значение</x:v>
      </x:c>
      <x:c r="D5" s="10" t="str">
        <x:v>Текущий фокус</x:v>
      </x:c>
      <x:c r="E5" s="10"/>
      <x:c r="F5" s="10"/>
      <x:c r="G5" s="10"/>
      <x:c r="H5" s="10"/>
    </x:row>
    <x:row r="6" ht="40" customHeight="1">
      <x:c r="A6" t="str">
        <x:v>Всего задач</x:v>
      </x:c>
      <x:c r="B6" t="n">
        <x:f>COUNTA('Task Register'!$A$5:$A$60)</x:f>
        <x:v>56</x:v>
      </x:c>
      <x:c r="D6" s="49" t="str">
        <x:v>Stage 5.6 final package 1.0.1: code-based baseline + Design System + prototype + handoff + Gate kit; 128/128 SCR, 37/37 FLOW, 38/38 roles, 56/56 states, 45/45 components; 83/83 mirror; 15/15 tests.</x:v>
      </x:c>
      <x:c r="E6" s="49"/>
      <x:c r="F6" s="49"/>
      <x:c r="G6" s="49"/>
      <x:c r="H6" s="49"/>
    </x:row>
    <x:row r="7" ht="40" customHeight="1">
      <x:c r="A7" t="str">
        <x:v>Готово</x:v>
      </x:c>
      <x:c r="B7" t="n">
        <x:f>COUNTIF('Task Register'!$G$5:$G$60,"Готово")</x:f>
        <x:v>29</x:v>
      </x:c>
      <x:c r="D7" s="49"/>
      <x:c r="E7" s="49"/>
      <x:c r="F7" s="49"/>
      <x:c r="G7" s="49"/>
      <x:c r="H7" s="49"/>
    </x:row>
    <x:row r="8">
      <x:c r="A8" t="str">
        <x:v>В работе</x:v>
      </x:c>
      <x:c r="B8" t="n">
        <x:f>COUNTIF('Task Register'!$G$5:$G$60,"В работе")</x:f>
        <x:v>20</x:v>
      </x:c>
      <x:c r="D8" s="53" t="str">
        <x:v>Gate 5.6 execution kit 0.1.0 готов: Windows UIA/Narrator, DPI, moderated sessions и sign-off имеют точные протоколы и валидатор. Текущий результат NOT_READY 0/9 — реальные внешние evidence ещё не добавлены.</x:v>
      </x:c>
      <x:c r="E8" s="53"/>
      <x:c r="F8" s="53"/>
      <x:c r="G8" s="53"/>
      <x:c r="H8" s="53"/>
    </x:row>
    <x:row r="9">
      <x:c r="A9" t="str">
        <x:v>Блокировано</x:v>
      </x:c>
      <x:c r="B9" t="n">
        <x:f>COUNTIF('Task Register'!$G$5:$G$60,"Блокировано")</x:f>
        <x:v>2</x:v>
      </x:c>
      <x:c r="D9" s="53"/>
      <x:c r="E9" s="53"/>
      <x:c r="F9" s="53"/>
      <x:c r="G9" s="53"/>
      <x:c r="H9" s="53"/>
    </x:row>
    <x:row r="10">
      <x:c r="A10" t="str">
        <x:v>Общий прогресс</x:v>
      </x:c>
      <x:c r="B10" s="13" t="n">
        <x:f>SUMPRODUCT(B13:B19,D13:D19)/SUM(B13:B19)</x:f>
        <x:v>0.9066071428571428</x:v>
      </x:c>
    </x:row>
    <x:row r="12">
      <x:c r="A12" s="10" t="str">
        <x:v>Stage</x:v>
      </x:c>
      <x:c r="B12" s="10" t="str">
        <x:v>Всего задач</x:v>
      </x:c>
      <x:c r="C12" s="10" t="str">
        <x:v>Закрыто задач</x:v>
      </x:c>
      <x:c r="D12" s="10" t="str">
        <x:v>Delivery completion</x:v>
      </x:c>
      <x:c r="E12" s="10" t="str">
        <x:v>Gate</x:v>
      </x:c>
      <x:c r="F12" s="10" t="str">
        <x:v>Gate status</x:v>
      </x:c>
    </x:row>
    <x:row r="13">
      <x:c r="A13" s="12" t="str">
        <x:v>5.0</x:v>
      </x:c>
      <x:c r="B13" t="n">
        <x:f>COUNTIF('Task Register'!$B$5:$B$60,A13)</x:f>
        <x:v>6</x:v>
      </x:c>
      <x:c r="C13" t="n">
        <x:f>COUNTIFS('Task Register'!$B$5:$B$60,A13,'Task Register'!$G$5:$G$60,"Готово")</x:f>
        <x:v>5</x:v>
      </x:c>
      <x:c r="D13" s="13" t="n">
        <x:f>'Stage Status'!D5</x:f>
        <x:v>1</x:v>
      </x:c>
      <x:c r="E13" t="str">
        <x:v>Gate 5.0</x:v>
      </x:c>
      <x:c r="F13" t="str">
        <x:f>'Stage Status'!E5</x:f>
        <x:v>Delivery завершён; OQ отдельно</x:v>
      </x:c>
    </x:row>
    <x:row r="14">
      <x:c r="A14" s="12" t="str">
        <x:v>5.1</x:v>
      </x:c>
      <x:c r="B14" t="n">
        <x:f>COUNTIF('Task Register'!$B$5:$B$60,A14)</x:f>
        <x:v>9</x:v>
      </x:c>
      <x:c r="C14" t="n">
        <x:f>COUNTIFS('Task Register'!$B$5:$B$60,A14,'Task Register'!$G$5:$G$60,"Готово")</x:f>
        <x:v>7</x:v>
      </x:c>
      <x:c r="D14" s="13" t="n">
        <x:f>'Stage Status'!D6</x:f>
        <x:v>1</x:v>
      </x:c>
      <x:c r="E14" t="str">
        <x:v>Gate 5.1</x:v>
      </x:c>
      <x:c r="F14" t="str">
        <x:f>'Stage Status'!E6</x:f>
        <x:v>Delivery завершён; formal review открыт</x:v>
      </x:c>
    </x:row>
    <x:row r="15">
      <x:c r="A15" s="12" t="str">
        <x:v>5.2</x:v>
      </x:c>
      <x:c r="B15" t="n">
        <x:f>COUNTIF('Task Register'!$B$5:$B$60,A15)</x:f>
        <x:v>16</x:v>
      </x:c>
      <x:c r="C15" t="n">
        <x:f>COUNTIFS('Task Register'!$B$5:$B$60,A15,'Task Register'!$G$5:$G$60,"Готово")</x:f>
        <x:v>3</x:v>
      </x:c>
      <x:c r="D15" s="13" t="n">
        <x:f>'Stage Status'!D7</x:f>
        <x:v>1</x:v>
      </x:c>
      <x:c r="E15" t="str">
        <x:v>Gate 5.2</x:v>
      </x:c>
      <x:c r="F15" t="str">
        <x:f>'Stage Status'!E7</x:f>
        <x:v>Delivery завершён; OS/QA review открыт</x:v>
      </x:c>
    </x:row>
    <x:row r="16">
      <x:c r="A16" s="12" t="str">
        <x:v>5.3</x:v>
      </x:c>
      <x:c r="B16" t="n">
        <x:f>COUNTIF('Task Register'!$B$5:$B$60,A16)</x:f>
        <x:v>10</x:v>
      </x:c>
      <x:c r="C16" t="n">
        <x:f>COUNTIFS('Task Register'!$B$5:$B$60,A16,'Task Register'!$G$5:$G$60,"Готово")</x:f>
        <x:v>5</x:v>
      </x:c>
      <x:c r="D16" s="13" t="n">
        <x:f>'Stage Status'!D8</x:f>
        <x:v>0.8469999999999999</x:v>
      </x:c>
      <x:c r="E16" t="str">
        <x:v>Gate 5.3</x:v>
      </x:c>
      <x:c r="F16" t="str">
        <x:f>'Stage Status'!E8</x:f>
        <x:v>Открыт — formal approval</x:v>
      </x:c>
    </x:row>
    <x:row r="17">
      <x:c r="A17" s="12" t="str">
        <x:v>5.4</x:v>
      </x:c>
      <x:c r="B17" t="n">
        <x:f>COUNTIF('Task Register'!$B$5:$B$60,A17)</x:f>
        <x:v>6</x:v>
      </x:c>
      <x:c r="C17" t="n">
        <x:f>COUNTIFS('Task Register'!$B$5:$B$60,A17,'Task Register'!$G$5:$G$60,"Готово")</x:f>
        <x:v>3</x:v>
      </x:c>
      <x:c r="D17" s="13" t="n">
        <x:f>'Stage Status'!D9</x:f>
        <x:v>0.7583333333333333</x:v>
      </x:c>
      <x:c r="E17" t="str">
        <x:v>Gate 5.4</x:v>
      </x:c>
      <x:c r="F17" t="str">
        <x:f>'Stage Status'!E9</x:f>
        <x:v>Открыт — native Windows + approval</x:v>
      </x:c>
    </x:row>
    <x:row r="18">
      <x:c r="A18" s="12" t="str">
        <x:v>5.5</x:v>
      </x:c>
      <x:c r="B18" t="n">
        <x:f>COUNTIF('Task Register'!$B$5:$B$60,A18)</x:f>
        <x:v>4</x:v>
      </x:c>
      <x:c r="C18" t="n">
        <x:f>COUNTIFS('Task Register'!$B$5:$B$60,A18,'Task Register'!$G$5:$G$60,"Готово")</x:f>
        <x:v>2</x:v>
      </x:c>
      <x:c r="D18" s="13" t="n">
        <x:f>'Stage Status'!D10</x:f>
        <x:v>0.6875</x:v>
      </x:c>
      <x:c r="E18" t="str">
        <x:v>Gate 5.5</x:v>
      </x:c>
      <x:c r="F18" t="str">
        <x:f>'Stage Status'!E10</x:f>
        <x:v>Не закрыт</x:v>
      </x:c>
    </x:row>
    <x:row r="19">
      <x:c r="A19" s="12" t="str">
        <x:v>5.6</x:v>
      </x:c>
      <x:c r="B19" t="n">
        <x:f>COUNTIF('Task Register'!$B$5:$B$60,A19)</x:f>
        <x:v>5</x:v>
      </x:c>
      <x:c r="C19" t="n">
        <x:f>COUNTIFS('Task Register'!$B$5:$B$60,A19,'Task Register'!$G$5:$G$60,"Готово")</x:f>
        <x:v>4</x:v>
      </x:c>
      <x:c r="D19" s="13" t="n">
        <x:f>'Stage Status'!D11</x:f>
        <x:v>0.8</x:v>
      </x:c>
      <x:c r="E19" t="str">
        <x:v>Gate 5.6</x:v>
      </x:c>
      <x:c r="F19" t="str">
        <x:f>'Stage Status'!E11</x:f>
        <x:v>Не закрыт</x:v>
      </x:c>
    </x:row>
    <x:row r="21">
      <x:c r="A21" s="10" t="str">
        <x:v>Текущий delivery focus</x:v>
      </x:c>
      <x:c r="B21" s="10"/>
      <x:c r="C21" s="10"/>
      <x:c r="D21" s="10"/>
      <x:c r="E21" s="10"/>
      <x:c r="F21" s="10"/>
      <x:c r="G21" s="10"/>
      <x:c r="H21" s="10"/>
    </x:row>
    <x:row r="22">
      <x:c r="A22" s="57" t="str">
        <x:v>Следующий фактический результат: выполнить stage_5_6_external_gate_execution_kit, получить 9/9 принятых hash-addressed evidence items и только затем принимать решение по Gate 5.6.</x:v>
      </x:c>
      <x:c r="B22" s="57"/>
      <x:c r="C22" s="57"/>
      <x:c r="D22" s="57"/>
      <x:c r="E22" s="57"/>
      <x:c r="F22" s="57"/>
      <x:c r="G22" s="57"/>
      <x:c r="H22" s="57"/>
    </x:row>
    <x:row r="23">
      <x:c r="A23" s="57"/>
      <x:c r="B23" s="57"/>
      <x:c r="C23" s="57"/>
      <x:c r="D23" s="57"/>
      <x:c r="E23" s="57"/>
      <x:c r="F23" s="57"/>
      <x:c r="G23" s="57"/>
      <x:c r="H23" s="57"/>
    </x:row>
    <x:row r="24">
      <x:c r="A24" s="57"/>
      <x:c r="B24" s="57"/>
      <x:c r="C24" s="57"/>
      <x:c r="D24" s="57"/>
      <x:c r="E24" s="57"/>
      <x:c r="F24" s="57"/>
      <x:c r="G24" s="57"/>
      <x:c r="H24" s="57"/>
    </x:row>
    <x:row r="26">
      <x:c r="A26" s="10" t="str">
        <x:v>Сквозное покрытие входов Stage 5</x:v>
      </x:c>
      <x:c r="B26" s="10"/>
      <x:c r="C26" s="10"/>
      <x:c r="D26" s="10"/>
      <x:c r="E26" s="10"/>
      <x:c r="F26" s="10"/>
      <x:c r="G26" s="10"/>
      <x:c r="H26" s="10"/>
    </x:row>
    <x:row r="27">
      <x:c r="A27" s="63" t="str">
        <x:v>Контур</x:v>
      </x:c>
      <x:c r="B27" s="63" t="str">
        <x:v>Всего</x:v>
      </x:c>
      <x:c r="C27" s="63" t="str">
        <x:v>Mapped / canonical</x:v>
      </x:c>
      <x:c r="D27" s="63" t="str">
        <x:v>Visual evidence pending</x:v>
      </x:c>
      <x:c r="E27" s="63" t="str">
        <x:v>Состояние</x:v>
      </x:c>
    </x:row>
    <x:row r="28">
      <x:c r="A28" s="64" t="str">
        <x:v>SCR</x:v>
      </x:c>
      <x:c r="B28" s="64" t="n">
        <x:f>COUNTA('SCR Coverage'!$A$5:$A$132)</x:f>
        <x:v>128</x:v>
      </x:c>
      <x:c r="C28" s="64" t="n">
        <x:f>COUNTIF('SCR Coverage'!$J$5:$J$132,"Mapped")</x:f>
        <x:v>128</x:v>
      </x:c>
      <x:c r="D28" s="64" t="n">
        <x:f>COUNTIF('SCR Coverage'!$L$5:$L$132,"Visual evidence pending")</x:f>
        <x:v>128</x:v>
      </x:c>
      <x:c r="E28" s="64" t="str">
        <x:f>IF(C28=B28,"Трассировка готова","Есть пробелы")</x:f>
        <x:v>Трассировка готова</x:v>
      </x:c>
    </x:row>
    <x:row r="29">
      <x:c r="A29" s="64" t="str">
        <x:v>FLOW</x:v>
      </x:c>
      <x:c r="B29" s="64" t="n">
        <x:f>COUNTA('FLOW Coverage'!$A$5:$A$41)</x:f>
        <x:v>37</x:v>
      </x:c>
      <x:c r="C29" s="64" t="n">
        <x:f>COUNTIF('FLOW Coverage'!$K$5:$K$41,"Mapped")</x:f>
        <x:v>37</x:v>
      </x:c>
      <x:c r="D29" s="64" t="n">
        <x:f>COUNTIF('FLOW Coverage'!$M$5:$M$41,"Visual evidence pending")</x:f>
        <x:v>37</x:v>
      </x:c>
      <x:c r="E29" s="64" t="str">
        <x:f>IF(C29=B29,"Трассировка готова","Есть пробелы")</x:f>
        <x:v>Трассировка готова</x:v>
      </x:c>
    </x:row>
    <x:row r="30">
      <x:c r="A30" s="64" t="str">
        <x:v>STATE</x:v>
      </x:c>
      <x:c r="B30" s="64" t="n">
        <x:f>COUNTA('STATE Coverage'!$A$5:$A$34)</x:f>
        <x:v>30</x:v>
      </x:c>
      <x:c r="C30" s="64" t="n">
        <x:f>COUNTIF('STATE Coverage'!$G$5:$G$34,"PASS")</x:f>
        <x:v>30</x:v>
      </x:c>
      <x:c r="D30" s="64" t="n">
        <x:f>COUNTIF('STATE Coverage'!$J$5:$J$34,"Visual evidence pending")</x:f>
        <x:v>30</x:v>
      </x:c>
      <x:c r="E30" s="64" t="str">
        <x:f>IF(C30=B30,"Трассировка готова","Есть пробелы")</x:f>
        <x:v>Трассировка готова</x:v>
      </x:c>
    </x:row>
    <x:row r="31">
      <x:c r="A31" s="64" t="str">
        <x:v>NFR</x:v>
      </x:c>
      <x:c r="B31" s="64" t="n">
        <x:f>COUNTA('NFR Coverage'!$A$5:$A$29)</x:f>
        <x:v>25</x:v>
      </x:c>
      <x:c r="C31" s="64" t="n">
        <x:f>COUNTIF('NFR Coverage'!$I$5:$I$29,"Mapped")</x:f>
        <x:v>25</x:v>
      </x:c>
      <x:c r="D31" s="64" t="n">
        <x:f>COUNTIF('NFR Coverage'!$J$5:$J$29,"Visual/QA evidence pending")</x:f>
        <x:v>25</x:v>
      </x:c>
      <x:c r="E31" s="64" t="str">
        <x:f>IF(C31=B31,"Трассировка готова","Есть пробелы")</x:f>
        <x:v>Трассировка готова</x:v>
      </x:c>
    </x:row>
    <x:row r="33">
      <x:c r="A33" s="10" t="str">
        <x:v>Готовность implementation contracts 5.2–5.5</x:v>
      </x:c>
      <x:c r="B33" s="10"/>
      <x:c r="C33" s="10"/>
      <x:c r="D33" s="10"/>
      <x:c r="E33" s="10"/>
      <x:c r="F33" s="10"/>
      <x:c r="G33" s="10"/>
      <x:c r="H33" s="10"/>
    </x:row>
    <x:row r="34">
      <x:c r="A34" s="63" t="str">
        <x:v>Контракт</x:v>
      </x:c>
      <x:c r="B34" s="63" t="str">
        <x:v>План</x:v>
      </x:c>
      <x:c r="C34" s="63" t="str">
        <x:v>Готово</x:v>
      </x:c>
      <x:c r="D34" s="63" t="str">
        <x:v>Готовность</x:v>
      </x:c>
      <x:c r="E34" s="63" t="str">
        <x:v>Следующая зависимость</x:v>
      </x:c>
    </x:row>
    <x:row r="35">
      <x:c r="A35" s="64" t="str">
        <x:v>Component families</x:v>
      </x:c>
      <x:c r="B35" s="64" t="n">
        <x:v>45</x:v>
      </x:c>
      <x:c r="C35" s="64" t="n">
        <x:f>COUNTIF('Component Usage'!$R$5:$R$49,"Frozen for Gate 5.2 candidate")</x:f>
        <x:v>45</x:v>
      </x:c>
      <x:c r="D35" s="65" t="n">
        <x:f>C35/B35</x:f>
        <x:v>1</x:v>
      </x:c>
      <x:c r="E35" s="64" t="str">
        <x:v>45/45 representative evidence → formal runtime verification</x:v>
      </x:c>
    </x:row>
    <x:row r="36">
      <x:c r="A36" s="64" t="str">
        <x:v>Vertical-slice FLOW</x:v>
      </x:c>
      <x:c r="B36" s="64" t="n">
        <x:v>10</x:v>
      </x:c>
      <x:c r="C36" s="64" t="n">
        <x:f>COUNTIF('Vertical Slice'!$R$5:$R$14,"Scenario contract ready")</x:f>
        <x:v>10</x:v>
      </x:c>
      <x:c r="D36" s="65" t="n">
        <x:f>C36/B36</x:f>
        <x:v>1</x:v>
      </x:c>
      <x:c r="E36" s="64" t="str">
        <x:v>Prototype → remaining P0 frames</x:v>
      </x:c>
    </x:row>
    <x:row r="37">
      <x:c r="A37" s="64" t="str">
        <x:v>Role/action contracts</x:v>
      </x:c>
      <x:c r="B37" s="64" t="n">
        <x:v>38</x:v>
      </x:c>
      <x:c r="C37" s="64" t="n">
        <x:f>COUNTIF('Role Matrix'!$N$5:$N$42,"Role contract ready")</x:f>
        <x:v>38</x:v>
      </x:c>
      <x:c r="D37" s="65" t="n">
        <x:f>C37/B37</x:f>
        <x:v>1</x:v>
      </x:c>
      <x:c r="E37" s="64" t="str">
        <x:v>Gate 5.2 → role comparison frames</x:v>
      </x:c>
    </x:row>
    <x:row r="38">
      <x:c r="A38" s="64" t="str">
        <x:v>Published state rows</x:v>
      </x:c>
      <x:c r="B38" s="64" t="n">
        <x:v>56</x:v>
      </x:c>
      <x:c r="C38" s="64" t="n">
        <x:f>COUNTIF('State Components'!$O$5:$O$60,"State contract ready")</x:f>
        <x:v>56</x:v>
      </x:c>
      <x:c r="D38" s="65" t="n">
        <x:f>C38/B38</x:f>
        <x:v>1</x:v>
      </x:c>
      <x:c r="E38" s="64" t="str">
        <x:v>Gate 5.2 → remaining state evidence</x:v>
      </x:c>
    </x:row>
    <x:row r="39">
      <x:c r="A39" s="64" t="str">
        <x:v>Usability scenarios</x:v>
      </x:c>
      <x:c r="B39" s="64" t="n">
        <x:v>10</x:v>
      </x:c>
      <x:c r="C39" s="64" t="n">
        <x:f>COUNTIF('Usability Script'!$R$5:$R$14,"Test contract ready")</x:f>
        <x:v>10</x:v>
      </x:c>
      <x:c r="D39" s="65" t="n">
        <x:f>C39/B39</x:f>
        <x:v>1</x:v>
      </x:c>
      <x:c r="E39" s="64" t="str">
        <x:v>Prototype → dry run/execution</x:v>
      </x:c>
    </x:row>
  </x:sheetData>
  <x:mergeCells>
    <x:mergeCell ref="A1:H2"/>
    <x:mergeCell ref="A3:H3"/>
    <x:mergeCell ref="D5:H5"/>
    <x:mergeCell ref="D6:H7"/>
    <x:mergeCell ref="D8:H9"/>
    <x:mergeCell ref="A21:H21"/>
    <x:mergeCell ref="A22:H24"/>
    <x:mergeCell ref="A26:H26"/>
    <x:mergeCell ref="A33:H33"/>
  </x:mergeCells>
  <x:conditionalFormatting sqref="B10:B10">
    <x:cfRule type="dataBar" priority="1">
      <x:dataBar>
        <x:cfvo type="min"/>
        <x:cfvo type="max"/>
        <x:color rgb="FF0E8A7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D13:D19">
    <x:cfRule type="dataBar" priority="2">
      <x:dataBar>
        <x:cfvo type="min"/>
        <x:cfvo type="max"/>
        <x:color rgb="FF246BFD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F13:F19">
    <x:cfRule type="containsText" dxfId="7" priority="3" operator="containsText" text="Delivery завершён"/>
    <x:cfRule type="containsText" dxfId="8" priority="4" operator="containsText" text="Открыт"/>
    <x:cfRule type="containsText" dxfId="9" priority="5" operator="containsText" text="Не закрыт"/>
  </x:conditionalFormatting>
  <x:conditionalFormatting sqref="E28:E31">
    <x:cfRule type="containsText" dxfId="10" priority="6" operator="containsText" text="Трассировка готова"/>
  </x:conditionalFormatting>
  <x:conditionalFormatting sqref="D35:D39">
    <x:cfRule type="dataBar" priority="7">
      <x:dataBar>
        <x:cfvo type="min"/>
        <x:cfvo type="max"/>
        <x:color rgb="FF0E8A74"/>
      </x:dataBar>
      <x:extLst>
        <x:ext xmlns:x14="http://schemas.microsoft.com/office/spreadsheetml/2009/9/main" uri="{B025F937-C7B1-47D3-B67F-A62EFF666E3E}">
          <x14:id>{A2C5F989-CA60-2928-DF8F-0A7C5049F2CB}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E8A74"/>
            </x14:dataBar>
          </x14:cfRule>
          <xm:sqref>B10:B10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246BFD"/>
            </x14:dataBar>
          </x14:cfRule>
          <xm:sqref>D13:D19</xm:sqref>
        </x14:conditionalFormatting>
        <x14:conditionalFormatting>
          <x14:cfRule type="dataBar" priority="7" id="{A2C5F989-CA60-2928-DF8F-0A7C5049F2CB}">
            <x14:dataBar gradient="1">
              <x14:cfvo type="min"/>
              <x14:cfvo type="max"/>
              <x14:fillColor rgb="FF0E8A74"/>
            </x14:dataBar>
          </x14:cfRule>
          <xm:sqref>D35:D39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4" hidden="0" customWidth="1"/>
    <x:col min="5" max="5" width="34" hidden="0" customWidth="1"/>
    <x:col min="6" max="6" width="46" hidden="0" customWidth="1"/>
    <x:col min="7" max="7" width="42" hidden="0" customWidth="1"/>
  </x:cols>
  <x:sheetData>
    <x:row r="1" ht="30" customHeight="1">
      <x:c r="A1" s="3" t="str">
        <x:v>Stage 5 — Delivery completion и Gate readiness</x:v>
      </x:c>
      <x:c r="B1" s="3"/>
      <x:c r="C1" s="3"/>
      <x:c r="D1" s="3"/>
      <x:c r="E1" s="3"/>
      <x:c r="F1" s="3"/>
      <x:c r="G1" s="3"/>
    </x:row>
    <x:row r="2" ht="30" customHeight="1">
      <x:c r="A2" s="3"/>
      <x:c r="B2" s="3"/>
      <x:c r="C2" s="3"/>
      <x:c r="D2" s="3"/>
      <x:c r="E2" s="3"/>
      <x:c r="F2" s="3"/>
      <x:c r="G2" s="3"/>
    </x:row>
    <x:row r="3" ht="34" customHeight="1">
      <x:c r="A3" s="6" t="str">
        <x:v>Accepted delivery baseline фиксирует уже завершённый объём и не снижается из-за последующих review/Gate задач. Task-derived progress остаётся рядом как диагностическая метрика.</x:v>
      </x:c>
      <x:c r="B3" s="6"/>
      <x:c r="C3" s="6"/>
      <x:c r="D3" s="6"/>
      <x:c r="E3" s="6"/>
      <x:c r="F3" s="6"/>
      <x:c r="G3" s="6"/>
    </x:row>
    <x:row r="4" ht="32" customHeight="1">
      <x:c r="A4" s="17" t="str">
        <x:v>Stage</x:v>
      </x:c>
      <x:c r="B4" s="18" t="str">
        <x:v>Accepted delivery baseline</x:v>
      </x:c>
      <x:c r="C4" s="18" t="str">
        <x:v>Task-derived progress</x:v>
      </x:c>
      <x:c r="D4" s="18" t="str">
        <x:v>Reported delivery completion</x:v>
      </x:c>
      <x:c r="E4" s="18" t="str">
        <x:v>Gate status</x:v>
      </x:c>
      <x:c r="F4" s="18" t="str">
        <x:v>Open verification / decisions</x:v>
      </x:c>
      <x:c r="G4" s="19" t="str">
        <x:v>Evidence</x:v>
      </x:c>
    </x:row>
    <x:row r="5">
      <x:c r="A5" s="40" t="str">
        <x:v>5.0</x:v>
      </x:c>
      <x:c r="B5" s="25" t="n">
        <x:v>1</x:v>
      </x:c>
      <x:c r="C5" s="25" t="n">
        <x:f>IFERROR(AVERAGEIF('Task Register'!$B$5:$B$60,A5,'Task Register'!$L$5:$L$60),0)</x:f>
        <x:v>0.8333333333333334</x:v>
      </x:c>
      <x:c r="D5" s="25" t="n">
        <x:f>IF(B5="",C5,B5)</x:f>
        <x:v>1</x:v>
      </x:c>
      <x:c r="E5" s="23" t="str">
        <x:v>Delivery завершён; OQ отдельно</x:v>
      </x:c>
      <x:c r="F5" s="23" t="str">
        <x:v>OQ-004/005/006/009 не снижают завершённость Stage 5.0</x:v>
      </x:c>
      <x:c r="G5" s="26" t="str">
        <x:v>План, inventory и динамическая доска приняты</x:v>
      </x:c>
    </x:row>
    <x:row r="6">
      <x:c r="A6" s="40" t="str">
        <x:v>5.1</x:v>
      </x:c>
      <x:c r="B6" s="25" t="n">
        <x:v>1</x:v>
      </x:c>
      <x:c r="C6" s="25" t="n">
        <x:f>IFERROR(AVERAGEIF('Task Register'!$B$5:$B$60,A6,'Task Register'!$L$5:$L$60),0)</x:f>
        <x:v>0.8166666666666667</x:v>
      </x:c>
      <x:c r="D6" s="25" t="n">
        <x:f>IF(B6="",C6,B6)</x:f>
        <x:v>1</x:v>
      </x:c>
      <x:c r="E6" s="23" t="str">
        <x:v>Delivery завершён; formal review открыт</x:v>
      </x:c>
      <x:c r="F6" s="23" t="str">
        <x:v>Product + WPF/Windows tech review и формальная фиксация Gate</x:v>
      </x:c>
      <x:c r="G6" s="26" t="str">
        <x:v>Direction 2, foundations и interaction states завершены</x:v>
      </x:c>
    </x:row>
    <x:row r="7">
      <x:c r="A7" s="40" t="str">
        <x:v>5.2</x:v>
      </x:c>
      <x:c r="B7" s="25" t="n">
        <x:v>1</x:v>
      </x:c>
      <x:c r="C7" s="25" t="n">
        <x:f>IFERROR(AVERAGEIF('Task Register'!$B$5:$B$60,A7,'Task Register'!$L$5:$L$60),0)</x:f>
        <x:v>0.875</x:v>
      </x:c>
      <x:c r="D7" s="25" t="n">
        <x:f>IF(B7="",C7,B7)</x:f>
        <x:v>1</x:v>
      </x:c>
      <x:c r="E7" s="23" t="str">
        <x:v>Delivery завершён; OS/QA review открыт</x:v>
      </x:c>
      <x:c r="F7" s="23" t="str">
        <x:v>UIA/Narrator, actual 200%, contrast, Windows runtime и formal approval</x:v>
      </x:c>
      <x:c r="G7" s="26" t="str">
        <x:v>45/45 component families prototype-verified</x:v>
      </x:c>
    </x:row>
    <x:row r="8">
      <x:c r="A8" s="40" t="str">
        <x:v>5.3</x:v>
      </x:c>
      <x:c r="B8" s="25"/>
      <x:c r="C8" s="25" t="n">
        <x:f>IFERROR(AVERAGEIF('Task Register'!$B$5:$B$60,A8,'Task Register'!$L$5:$L$60),0)</x:f>
        <x:v>0.8469999999999999</x:v>
      </x:c>
      <x:c r="D8" s="25" t="n">
        <x:f>IF(B8="",C8,B8)</x:f>
        <x:v>0.8469999999999999</x:v>
      </x:c>
      <x:c r="E8" s="23" t="str">
        <x:v>Открыт — formal approval</x:v>
      </x:c>
      <x:c r="F8" s="23" t="str">
        <x:v>Formal evidence approval и native Windows/runtime review</x:v>
      </x:c>
      <x:c r="G8" s="26" t="str">
        <x:v>128/128 SCR и 37/37 FLOW mapped; CalendarEvent и Operations browser-verified</x:v>
      </x:c>
    </x:row>
    <x:row r="9">
      <x:c r="A9" s="40" t="str">
        <x:v>5.4</x:v>
      </x:c>
      <x:c r="B9" s="25"/>
      <x:c r="C9" s="25" t="n">
        <x:f>IFERROR(AVERAGEIF('Task Register'!$B$5:$B$60,A9,'Task Register'!$L$5:$L$60),0)</x:f>
        <x:v>0.7583333333333333</x:v>
      </x:c>
      <x:c r="D9" s="25" t="n">
        <x:f>IF(B9="",C9,B9)</x:f>
        <x:v>0.7583333333333333</x:v>
      </x:c>
      <x:c r="E9" s="23" t="str">
        <x:v>Открыт — native Windows + approval</x:v>
      </x:c>
      <x:c r="F9" s="23" t="str">
        <x:v>Narrator/UIA, actual Windows 100–200% multi-monitor scaling и owner approval</x:v>
      </x:c>
      <x:c r="G9" s="26" t="str">
        <x:v>38/38 roles, 56/56 states и prototype audit Critical/High = 0</x:v>
      </x:c>
    </x:row>
    <x:row r="10">
      <x:c r="A10" s="40" t="str">
        <x:v>5.5</x:v>
      </x:c>
      <x:c r="B10" s="25"/>
      <x:c r="C10" s="25" t="n">
        <x:f>IFERROR(AVERAGEIF('Task Register'!$B$5:$B$60,A10,'Task Register'!$L$5:$L$60),0)</x:f>
        <x:v>0.6875</x:v>
      </x:c>
      <x:c r="D10" s="25" t="n">
        <x:f>IF(B10="",C10,B10)</x:f>
        <x:v>0.6875</x:v>
      </x:c>
      <x:c r="E10" s="23" t="str">
        <x:v>Не закрыт</x:v>
      </x:c>
      <x:c r="F10" s="23" t="str">
        <x:v>Usability sessions и remediation</x:v>
      </x:c>
      <x:c r="G10" s="26" t="str">
        <x:v>Usability script подготовлен</x:v>
      </x:c>
    </x:row>
    <x:row r="11">
      <x:c r="A11" s="41" t="str">
        <x:v>5.6</x:v>
      </x:c>
      <x:c r="B11" s="32"/>
      <x:c r="C11" s="32" t="n">
        <x:f>IFERROR(AVERAGEIF('Task Register'!$B$5:$B$60,A11,'Task Register'!$L$5:$L$60),0)</x:f>
        <x:v>0.8</x:v>
      </x:c>
      <x:c r="D11" s="32" t="n">
        <x:f>IF(B11="",C11,B11)</x:f>
        <x:v>0.8</x:v>
      </x:c>
      <x:c r="E11" s="30" t="str">
        <x:v>Не закрыт</x:v>
      </x:c>
      <x:c r="F11" s="30" t="str">
        <x:v>Final audit, handoff, manifest и approvals</x:v>
      </x:c>
      <x:c r="G11" s="33" t="str">
        <x:v>План Stage 5.6</x:v>
      </x:c>
    </x:row>
  </x:sheetData>
  <x:mergeCells>
    <x:mergeCell ref="A1:G2"/>
    <x:mergeCell ref="A3:G3"/>
  </x:mergeCells>
  <x:conditionalFormatting sqref="D5:D11">
    <x:cfRule type="dataBar" priority="1">
      <x:dataBar>
        <x:cfvo type="min"/>
        <x:cfvo type="max"/>
        <x:color rgb="FF246BFD"/>
      </x:dataBar>
      <x:extLst>
        <x:ext xmlns:x14="http://schemas.microsoft.com/office/spreadsheetml/2009/9/main" uri="{B025F937-C7B1-47D3-B67F-A62EFF666E3E}">
          <x14:id>{2100C8CB-9444-1BBF-B9E6-23624DD27FD2}</x14:id>
        </x:ext>
      </x:extLst>
    </x:cfRule>
  </x:conditionalFormatting>
  <x:conditionalFormatting sqref="E5:E11">
    <x:cfRule type="containsText" dxfId="4" priority="2" operator="containsText" text="Delivery завершён"/>
    <x:cfRule type="containsText" dxfId="5" priority="3" operator="containsText" text="Открыт"/>
    <x:cfRule type="containsText" dxfId="6" priority="4" operator="containsText" text="Не закрыт"/>
  </x:conditionalFormatting>
  <x:pageMargins left="0.7" right="0.7" top="0.75" bottom="0.75" header="0.3" footer="0.3"/>
  <x:tableParts count="1">
    <x:tablePart xmlns:r="http://schemas.openxmlformats.org/officeDocument/2006/relationships" r:id="R6161bb2ff61d41b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00C8CB-9444-1BBF-B9E6-23624DD27FD2}">
            <x14:dataBar gradient="1">
              <x14:cfvo type="min"/>
              <x14:cfvo type="max"/>
              <x14:fillColor rgb="FF246BFD"/>
            </x14:dataBar>
          </x14:cfRule>
          <xm:sqref>D5:D11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67" t="str">
        <x:v>Stage 5 — Kanban</x:v>
      </x:c>
      <x:c r="B1" s="67"/>
      <x:c r="C1" s="67"/>
      <x:c r="D1" s="67"/>
      <x:c r="E1" s="67"/>
      <x:c r="F1" s="67"/>
    </x:row>
    <x:row r="2">
      <x:c r="A2" s="67"/>
      <x:c r="B2" s="67"/>
      <x:c r="C2" s="67"/>
      <x:c r="D2" s="67"/>
      <x:c r="E2" s="67"/>
      <x:c r="F2" s="67"/>
    </x:row>
    <x:row r="3">
      <x:c r="A3" s="5" t="str">
        <x:v>Статусы меняются в Task Register; Codex обновляет этот визуальный снимок после каждого значимого прохода.</x:v>
      </x:c>
      <x:c r="B3" s="5"/>
      <x:c r="C3" s="5"/>
      <x:c r="D3" s="5"/>
      <x:c r="E3" s="5"/>
      <x:c r="F3" s="5"/>
    </x:row>
    <x:row r="4">
      <x:c r="A4" s="10" t="str">
        <x:v>Бэклог</x:v>
      </x:c>
      <x:c r="B4" s="10" t="str">
        <x:v>Готово к работе</x:v>
      </x:c>
      <x:c r="C4" s="10" t="str">
        <x:v>В работе</x:v>
      </x:c>
      <x:c r="D4" s="10" t="str">
        <x:v>На проверке</x:v>
      </x:c>
      <x:c r="E4" s="10" t="str">
        <x:v>Ожидает решения</x:v>
      </x:c>
      <x:c r="F4" s="10" t="str">
        <x:v>Блокировано</x:v>
      </x:c>
    </x:row>
    <x:row r="5" ht="58" customHeight="1">
      <x:c r="A5" s="71" t="str">
        <x:v>S5-0310 · 5.3
Закрыть Gate 5.3
Product owner · 0%</x:v>
      </x:c>
      <x:c r="B5" s="71" t="str"/>
      <x:c r="C5" s="71" t="str">
        <x:v>S5-0108 · 5.1
Провести product + desktop tech review направления
Product owner + Tech lead · 35%</x:v>
      </x:c>
      <x:c r="D5" s="71" t="str"/>
      <x:c r="E5" s="71" t="str">
        <x:v>S5-0006 · 5.0
Зафиксировать решения OQ-004/005/006/009, влияющие на дизайн
Product owner · 0%</x:v>
      </x:c>
      <x:c r="F5" s="71" t="str">
        <x:v>S5-0109 · 5.1
Закрыть Gate 5.1
Product owner · 0%</x:v>
      </x:c>
    </x:row>
    <x:row r="6" ht="58" customHeight="1">
      <x:c r="A6" s="71" t="str">
        <x:v>S5-0406 · 5.4
Закрыть Gate 5.4
Product owner + QA · 0%</x:v>
      </x:c>
      <x:c r="B6" s="71" t="str"/>
      <x:c r="C6" s="71" t="str">
        <x:v>S5-0203 · 5.2
Реализовать foundations/tokens выбранного направления
Codex · 75%</x:v>
      </x:c>
      <x:c r="D6" s="71" t="str"/>
      <x:c r="E6" s="71" t="str"/>
      <x:c r="F6" s="71" t="str">
        <x:v>S5-0216 · 5.2
Закрыть Gate 5.2
Product owner + Tech lead + QA · 0%</x:v>
      </x:c>
    </x:row>
    <x:row r="7" ht="58" customHeight="1">
      <x:c r="A7" s="71" t="str">
        <x:v>S5-0504 · 5.5
Закрыть Gate 5.5
Product owner · 0%</x:v>
      </x:c>
      <x:c r="B7" s="71" t="str"/>
      <x:c r="C7" s="71" t="str">
        <x:v>S5-0204 · 5.2
App shell, navigation, command bar и page header
Codex · 86%</x:v>
      </x:c>
      <x:c r="D7" s="71" t="str"/>
      <x:c r="E7" s="71" t="str"/>
      <x:c r="F7" s="71" t="str"/>
    </x:row>
    <x:row r="8" ht="58" customHeight="1">
      <x:c r="A8" s="71" t="str">
        <x:v>S5-0605 · 5.6
Подписать Gate 5.6 и допуск к разработке
Product owner + Design + Tech lead + QA · 0%</x:v>
      </x:c>
      <x:c r="B8" s="71" t="str"/>
      <x:c r="C8" s="71" t="str">
        <x:v>S5-0205 · 5.2
Buttons, inputs, selectors, picker и search components
Codex · 94%</x:v>
      </x:c>
      <x:c r="D8" s="71" t="str"/>
      <x:c r="E8" s="71" t="str"/>
      <x:c r="F8" s="71" t="str"/>
    </x:row>
    <x:row r="9" ht="58" customHeight="1">
      <x:c r="A9" s="71" t="str"/>
      <x:c r="B9" s="71" t="str"/>
      <x:c r="C9" s="71" t="str">
        <x:v>S5-0206 · 5.2
List/table/tree/cards/badges/pagination patterns
Codex · 94%</x:v>
      </x:c>
      <x:c r="D9" s="71" t="str"/>
      <x:c r="E9" s="71" t="str"/>
      <x:c r="F9" s="71" t="str"/>
    </x:row>
    <x:row r="10" ht="58" customHeight="1">
      <x:c r="A10" s="71" t="str"/>
      <x:c r="B10" s="71" t="str"/>
      <x:c r="C10" s="71" t="str">
        <x:v>S5-0207 · 5.2
Dialog/panel/toast/inline message/Notification Center
Codex · 94%</x:v>
      </x:c>
      <x:c r="D10" s="71" t="str"/>
      <x:c r="E10" s="71" t="str"/>
      <x:c r="F10" s="71" t="str"/>
    </x:row>
    <x:row r="11" ht="58" customHeight="1">
      <x:c r="A11" s="71" t="str"/>
      <x:c r="B11" s="71" t="str"/>
      <x:c r="C11" s="71" t="str">
        <x:v>S5-0208 · 5.2
Loading/empty/error/read-only/offline/conflict/recovery components
Codex · 98%</x:v>
      </x:c>
      <x:c r="D11" s="71" t="str"/>
      <x:c r="E11" s="71" t="str"/>
      <x:c r="F11" s="71" t="str"/>
    </x:row>
    <x:row r="12" ht="58" customHeight="1">
      <x:c r="A12" s="71" t="str"/>
      <x:c r="B12" s="71" t="str"/>
      <x:c r="C12" s="71" t="str">
        <x:v>S5-0209 · 5.2
Макеты Auth/first connection и Shell/Today
Codex · 99%</x:v>
      </x:c>
      <x:c r="D12" s="71" t="str"/>
      <x:c r="E12" s="71" t="str"/>
      <x:c r="F12" s="71" t="str"/>
    </x:row>
    <x:row r="13" ht="58" customHeight="1">
      <x:c r="A13" s="71" t="str"/>
      <x:c r="B13" s="71" t="str"/>
      <x:c r="C13" s="71" t="str">
        <x:v>S5-0210 · 5.2
Макеты Inbox capture и Create/Edit Task
Codex · 95%</x:v>
      </x:c>
      <x:c r="D13" s="71" t="str"/>
      <x:c r="E13" s="71" t="str"/>
      <x:c r="F13" s="71" t="str"/>
    </x:row>
    <x:row r="14" ht="58" customHeight="1">
      <x:c r="A14" s="71" t="str"/>
      <x:c r="B14" s="71" t="str"/>
      <x:c r="C14" s="71" t="str">
        <x:v>S5-0211 · 5.2
Макеты Global Search с employee redaction
Codex · 93%</x:v>
      </x:c>
      <x:c r="D14" s="71" t="str"/>
      <x:c r="E14" s="71" t="str"/>
      <x:c r="F14" s="71" t="str"/>
    </x:row>
    <x:row r="15" ht="58" customHeight="1">
      <x:c r="A15" s="71" t="str"/>
      <x:c r="B15" s="71" t="str"/>
      <x:c r="C15" s="71" t="str">
        <x:v>S5-0212 · 5.2
Макеты server loss → read-only → recovery и conflict
Codex · 99%</x:v>
      </x:c>
      <x:c r="D15" s="71" t="str"/>
      <x:c r="E15" s="71" t="str"/>
      <x:c r="F15" s="71" t="str"/>
    </x:row>
    <x:row r="16" ht="58" customHeight="1">
      <x:c r="A16" s="71" t="str"/>
      <x:c r="B16" s="71" t="str"/>
      <x:c r="C16" s="71" t="str">
        <x:v>S5-0213 · 5.2
Собрать интерактивный prototype vertical slice
Codex · 99%</x:v>
      </x:c>
      <x:c r="D16" s="71" t="str"/>
      <x:c r="E16" s="71" t="str"/>
      <x:c r="F16" s="71" t="str"/>
    </x:row>
    <x:row r="17" ht="58" customHeight="1">
      <x:c r="A17" s="71" t="str"/>
      <x:c r="B17" s="71" t="str"/>
      <x:c r="C17" s="71" t="str">
        <x:v>S5-0214 · 5.2
Проверить keyboard-only, focus и accessible names/states
QA + Codex · 74%</x:v>
      </x:c>
      <x:c r="D17" s="71" t="str"/>
      <x:c r="E17" s="71" t="str"/>
      <x:c r="F17" s="71" t="str"/>
    </x:row>
    <x:row r="18" ht="58" customHeight="1">
      <x:c r="A18" s="71" t="str"/>
      <x:c r="B18" s="71" t="str"/>
      <x:c r="C18" s="71" t="str">
        <x:v>S5-0301 · 5.3
Today, Inbox, Tasks, Subtasks/Checklists
Design · 90%</x:v>
      </x:c>
      <x:c r="D18" s="71" t="str"/>
      <x:c r="E18" s="71" t="str"/>
      <x:c r="F18" s="71" t="str"/>
    </x:row>
    <x:row r="19" ht="58" customHeight="1">
      <x:c r="A19" s="71" t="str"/>
      <x:c r="B19" s="71" t="str"/>
      <x:c r="C19" s="71" t="str">
        <x:v>S5-0303 · 5.3
Projects, members и lifecycle
Design · 88%</x:v>
      </x:c>
      <x:c r="D19" s="71" t="str"/>
      <x:c r="E19" s="71" t="str"/>
      <x:c r="F19" s="71" t="str"/>
    </x:row>
    <x:row r="20" ht="58" customHeight="1">
      <x:c r="A20" s="71" t="str"/>
      <x:c r="B20" s="71" t="str"/>
      <x:c r="C20" s="71" t="str">
        <x:v>S5-0304 · 5.3
Files/FileLocations и SMB diagnostics
Design · 85%</x:v>
      </x:c>
      <x:c r="D20" s="71" t="str"/>
      <x:c r="E20" s="71" t="str"/>
      <x:c r="F20" s="71" t="str"/>
    </x:row>
    <x:row r="21" ht="58" customHeight="1">
      <x:c r="A21" s="71" t="str"/>
      <x:c r="B21" s="71" t="str"/>
      <x:c r="C21" s="71" t="str">
        <x:v>S5-0305 · 5.3
CRM, comments, watchers и history
Design · 84%</x:v>
      </x:c>
      <x:c r="D21" s="71" t="str"/>
      <x:c r="E21" s="71" t="str"/>
      <x:c r="F21" s="71" t="str"/>
    </x:row>
    <x:row r="22" ht="58" customHeight="1">
      <x:c r="A22" s="71" t="str"/>
      <x:c r="B22" s="71" t="str"/>
      <x:c r="C22" s="71" t="str">
        <x:v>S5-0403 · 5.4
Полный keyboard/screen-reader/non-color review
QA · 85%</x:v>
      </x:c>
      <x:c r="D22" s="71" t="str"/>
      <x:c r="E22" s="71" t="str"/>
      <x:c r="F22" s="71" t="str"/>
    </x:row>
    <x:row r="23" ht="58" customHeight="1">
      <x:c r="A23" s="71" t="str"/>
      <x:c r="B23" s="71" t="str"/>
      <x:c r="C23" s="71" t="str">
        <x:v>S5-0404 · 5.4
Проверка Windows scaling 100–200% и длинных RU строк
QA + Tech lead · 70%</x:v>
      </x:c>
      <x:c r="D23" s="71" t="str"/>
      <x:c r="E23" s="71" t="str"/>
      <x:c r="F23" s="71" t="str"/>
    </x:row>
    <x:row r="24" ht="58" customHeight="1">
      <x:c r="A24" s="71" t="str"/>
      <x:c r="B24" s="71" t="str"/>
      <x:c r="C24" s="71" t="str">
        <x:v>S5-0502 · 5.5
Провести sessions по ролям и admin review
UX · 75%</x:v>
      </x:c>
      <x:c r="D24" s="71" t="str"/>
      <x:c r="E24" s="71" t="str"/>
      <x:c r="F24" s="71" t="str"/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6" hidden="0" customWidth="1"/>
    <x:col min="4" max="4" width="8" hidden="0" customWidth="1"/>
    <x:col min="5" max="5" width="9" hidden="0" customWidth="1"/>
    <x:col min="6" max="6" width="38" hidden="0" customWidth="1"/>
    <x:col min="7" max="7" width="18" hidden="0" customWidth="1"/>
    <x:col min="8" max="8" width="20" hidden="0" customWidth="1"/>
    <x:col min="9" max="9" width="18" hidden="0" customWidth="1"/>
    <x:col min="10" max="10" width="12" hidden="0" customWidth="1"/>
    <x:col min="11" max="11" width="12" hidden="0" customWidth="1"/>
    <x:col min="12" max="12" width="11" hidden="0" customWidth="1"/>
    <x:col min="13" max="13" width="24" hidden="0" customWidth="1"/>
    <x:col min="14" max="14" width="25" hidden="0" customWidth="1"/>
    <x:col min="15" max="15" width="12" hidden="0" customWidth="1"/>
    <x:col min="16" max="16" width="34" hidden="0" customWidth="1"/>
    <x:col min="17" max="17" width="28" hidden="0" customWidth="1"/>
  </x:cols>
  <x:sheetData>
    <x:row r="1" ht="32" customHeight="1">
      <x:c r="A1" s="3" t="str">
        <x:v>Stage 5 — канонический реестр задач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6" t="str">
        <x:v>Редактируйте Status, Owner, Progress и Next action. Dashboard пересчитывается формулами; Kanban — визуальный снимок, который Codex обновляет при каждом проходе.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 ht="32" customHeight="1">
      <x:c r="A4" s="17" t="str">
        <x:v>ID</x:v>
      </x:c>
      <x:c r="B4" s="18" t="str">
        <x:v>Stage</x:v>
      </x:c>
      <x:c r="C4" s="18" t="str">
        <x:v>Workstream</x:v>
      </x:c>
      <x:c r="D4" s="18" t="str">
        <x:v>Gate</x:v>
      </x:c>
      <x:c r="E4" s="18" t="str">
        <x:v>Priority</x:v>
      </x:c>
      <x:c r="F4" s="18" t="str">
        <x:v>Task</x:v>
      </x:c>
      <x:c r="G4" s="18" t="str">
        <x:v>Status</x:v>
      </x:c>
      <x:c r="H4" s="18" t="str">
        <x:v>Owner</x:v>
      </x:c>
      <x:c r="I4" s="18" t="str">
        <x:v>Dependency</x:v>
      </x:c>
      <x:c r="J4" s="18" t="str">
        <x:v>Start</x:v>
      </x:c>
      <x:c r="K4" s="18" t="str">
        <x:v>Target</x:v>
      </x:c>
      <x:c r="L4" s="18" t="str">
        <x:v>Progress</x:v>
      </x:c>
      <x:c r="M4" s="18" t="str">
        <x:v>Evidence</x:v>
      </x:c>
      <x:c r="N4" s="18" t="str">
        <x:v>Canonical source</x:v>
      </x:c>
      <x:c r="O4" s="18" t="str">
        <x:v>Last update</x:v>
      </x:c>
      <x:c r="P4" s="18" t="str">
        <x:v>Next action</x:v>
      </x:c>
      <x:c r="Q4" s="19" t="str">
        <x:v>Notes</x:v>
      </x:c>
    </x:row>
    <x:row r="5">
      <x:c r="A5" s="20" t="str">
        <x:v>S5-0001</x:v>
      </x:c>
      <x:c r="B5" s="21" t="str">
        <x:v>5.0</x:v>
      </x:c>
      <x:c r="C5" s="22" t="str">
        <x:v>Governance</x:v>
      </x:c>
      <x:c r="D5" s="21" t="str">
        <x:v>5.0</x:v>
      </x:c>
      <x:c r="E5" s="22" t="str">
        <x:v>P0</x:v>
      </x:c>
      <x:c r="F5" s="23" t="str">
        <x:v>Зафиксировать входной Stage 5 Design Input и SHA-256</x:v>
      </x:c>
      <x:c r="G5" s="23" t="str">
        <x:v>Готово</x:v>
      </x:c>
      <x:c r="H5" s="23" t="str">
        <x:v>Codex</x:v>
      </x:c>
      <x:c r="I5" s="23" t="str">
        <x:v>—</x:v>
      </x:c>
      <x:c r="J5" s="24" t="n">
        <x:v>46231.375</x:v>
      </x:c>
      <x:c r="K5" s="24" t="n">
        <x:v>46231.375</x:v>
      </x:c>
      <x:c r="L5" s="25" t="n">
        <x:v>1</x:v>
      </x:c>
      <x:c r="M5" s="23" t="str">
        <x:v>Organizer_Stage5_Design_Input.validation.md</x:v>
      </x:c>
      <x:c r="N5" s="23" t="str">
        <x:v>Stage 4 Design Handoff</x:v>
      </x:c>
      <x:c r="O5" s="24" t="n">
        <x:v>46231.375</x:v>
      </x:c>
      <x:c r="P5" s="23" t="str">
        <x:v>Сохранять baseline неизменным</x:v>
      </x:c>
      <x:c r="Q5" s="26" t="str">
        <x:v>SHA подтверждён</x:v>
      </x:c>
    </x:row>
    <x:row r="6">
      <x:c r="A6" s="20" t="str">
        <x:v>S5-0002</x:v>
      </x:c>
      <x:c r="B6" s="21" t="str">
        <x:v>5.0</x:v>
      </x:c>
      <x:c r="C6" s="22" t="str">
        <x:v>Governance</x:v>
      </x:c>
      <x:c r="D6" s="21" t="str">
        <x:v>5.0</x:v>
      </x:c>
      <x:c r="E6" s="22" t="str">
        <x:v>P0</x:v>
      </x:c>
      <x:c r="F6" s="23" t="str">
        <x:v>Утвердить план Stage 5.0–5.6</x:v>
      </x:c>
      <x:c r="G6" s="23" t="str">
        <x:v>Готово</x:v>
      </x:c>
      <x:c r="H6" s="23" t="str">
        <x:v>Product owner</x:v>
      </x:c>
      <x:c r="I6" s="23" t="str">
        <x:v>S5-0001</x:v>
      </x:c>
      <x:c r="J6" s="24" t="n">
        <x:v>46230.375</x:v>
      </x:c>
      <x:c r="K6" s="24" t="n">
        <x:v>46231.375</x:v>
      </x:c>
      <x:c r="L6" s="25" t="n">
        <x:v>1</x:v>
      </x:c>
      <x:c r="M6" s="23" t="str">
        <x:v>Stage_5_Visual_Design_Plan_1.0.zip</x:v>
      </x:c>
      <x:c r="N6" s="23" t="str">
        <x:v>Stage 5 Plan 1.0</x:v>
      </x:c>
      <x:c r="O6" s="24" t="n">
        <x:v>46231.375</x:v>
      </x:c>
      <x:c r="P6" s="23" t="str">
        <x:v>Следовать gates и DoD</x:v>
      </x:c>
      <x:c r="Q6" s="26" t="str">
        <x:v>Запуск Stage 5 разрешён пользователем</x:v>
      </x:c>
    </x:row>
    <x:row r="7">
      <x:c r="A7" s="20" t="str">
        <x:v>S5-0003</x:v>
      </x:c>
      <x:c r="B7" s="21" t="str">
        <x:v>5.0</x:v>
      </x:c>
      <x:c r="C7" s="22" t="str">
        <x:v>Governance</x:v>
      </x:c>
      <x:c r="D7" s="21" t="str">
        <x:v>5.0</x:v>
      </x:c>
      <x:c r="E7" s="22" t="str">
        <x:v>P0</x:v>
      </x:c>
      <x:c r="F7" s="23" t="str">
        <x:v>Создать динамическую доску Stage 5</x:v>
      </x:c>
      <x:c r="G7" s="23" t="str">
        <x:v>Готово</x:v>
      </x:c>
      <x:c r="H7" s="23" t="str">
        <x:v>Codex</x:v>
      </x:c>
      <x:c r="I7" s="23" t="str">
        <x:v>S5-0002</x:v>
      </x:c>
      <x:c r="J7" s="24" t="n">
        <x:v>46231.375</x:v>
      </x:c>
      <x:c r="K7" s="24" t="n">
        <x:v>46231.375</x:v>
      </x:c>
      <x:c r="L7" s="25" t="n">
        <x:v>1</x:v>
      </x:c>
      <x:c r="M7" s="23" t="str">
        <x:v>Stage_5_Task_Board.xlsx</x:v>
      </x:c>
      <x:c r="N7" s="23" t="str">
        <x:v>Stage 5 Plan §4</x:v>
      </x:c>
      <x:c r="O7" s="24" t="n">
        <x:v>46231.375</x:v>
      </x:c>
      <x:c r="P7" s="23" t="str">
        <x:v>Обновлять после каждого значимого шага</x:v>
      </x:c>
      <x:c r="Q7" s="26" t="str">
        <x:v>Канонический рабочий трекер</x:v>
      </x:c>
    </x:row>
    <x:row r="8">
      <x:c r="A8" s="20" t="str">
        <x:v>S5-0004</x:v>
      </x:c>
      <x:c r="B8" s="21" t="str">
        <x:v>5.0</x:v>
      </x:c>
      <x:c r="C8" s="22" t="str">
        <x:v>Traceability</x:v>
      </x:c>
      <x:c r="D8" s="21" t="str">
        <x:v>5.0</x:v>
      </x:c>
      <x:c r="E8" s="22" t="str">
        <x:v>P0</x:v>
      </x:c>
      <x:c r="F8" s="23" t="str">
        <x:v>Сформировать инвентаризацию 128 уникальных SCR и 37 FLOW</x:v>
      </x:c>
      <x:c r="G8" s="23" t="str">
        <x:v>Готово</x:v>
      </x:c>
      <x:c r="H8" s="23" t="str">
        <x:v>Codex</x:v>
      </x:c>
      <x:c r="I8" s="23" t="str">
        <x:v>S5-0001</x:v>
      </x:c>
      <x:c r="J8" s="24" t="n">
        <x:v>46231.375</x:v>
      </x:c>
      <x:c r="K8" s="24" t="n">
        <x:v>46233.375</x:v>
      </x:c>
      <x:c r="L8" s="25" t="n">
        <x:v>1</x:v>
      </x:c>
      <x:c r="M8" s="23" t="str">
        <x:v>Component + Flow Design Inventories 0.1</x:v>
      </x:c>
      <x:c r="N8" s="23" t="str">
        <x:v>Stage 3.5 Screen Catalog / User Flows</x:v>
      </x:c>
      <x:c r="O8" s="24" t="n">
        <x:v>46231.375</x:v>
      </x:c>
      <x:c r="P8" s="23" t="str">
        <x:v>Использовать в traceability matrix</x:v>
      </x:c>
      <x:c r="Q8" s="26" t="str">
        <x:v>128/128 SCR и 37/37 FLOW; 132 rows включали delta-повторы</x:v>
      </x:c>
    </x:row>
    <x:row r="9">
      <x:c r="A9" s="20" t="str">
        <x:v>S5-0005</x:v>
      </x:c>
      <x:c r="B9" s="21" t="str">
        <x:v>5.0</x:v>
      </x:c>
      <x:c r="C9" s="22" t="str">
        <x:v>Traceability</x:v>
      </x:c>
      <x:c r="D9" s="21" t="str">
        <x:v>5.0</x:v>
      </x:c>
      <x:c r="E9" s="22" t="str">
        <x:v>P0</x:v>
      </x:c>
      <x:c r="F9" s="23" t="str">
        <x:v>Создать матрицу SCR/FLOW/STATE → design evidence</x:v>
      </x:c>
      <x:c r="G9" s="23" t="str">
        <x:v>Готово</x:v>
      </x:c>
      <x:c r="H9" s="23" t="str">
        <x:v>Codex</x:v>
      </x:c>
      <x:c r="I9" s="23" t="str">
        <x:v>S5-0004</x:v>
      </x:c>
      <x:c r="J9" s="24" t="n">
        <x:v>46232.375</x:v>
      </x:c>
      <x:c r="K9" s="24" t="n">
        <x:v>46234.375</x:v>
      </x:c>
      <x:c r="L9" s="25" t="n">
        <x:v>1</x:v>
      </x:c>
      <x:c r="M9" s="23" t="str">
        <x:v>SCR/FLOW/STATE/NFR Coverage sheets</x:v>
      </x:c>
      <x:c r="N9" s="23" t="str">
        <x:v>Stage 3.5 + PRD 4.5</x:v>
      </x:c>
      <x:c r="O9" s="24" t="n">
        <x:v>46231.375</x:v>
      </x:c>
      <x:c r="P9" s="23" t="str">
        <x:v>Поддерживать статусы design evidence по мере выполнения 5.2–5.4</x:v>
      </x:c>
      <x:c r="Q9" s="26" t="str">
        <x:v>128 SCR, 37 FLOW, 30 STATE и 25 NFR связаны с требуемым design evidence</x:v>
      </x:c>
    </x:row>
    <x:row r="10">
      <x:c r="A10" s="20" t="str">
        <x:v>S5-0006</x:v>
      </x:c>
      <x:c r="B10" s="21" t="str">
        <x:v>5.0</x:v>
      </x:c>
      <x:c r="C10" s="22" t="str">
        <x:v>Decisions</x:v>
      </x:c>
      <x:c r="D10" s="21" t="str">
        <x:v>5.0</x:v>
      </x:c>
      <x:c r="E10" s="22" t="str">
        <x:v>P1</x:v>
      </x:c>
      <x:c r="F10" s="23" t="str">
        <x:v>Зафиксировать решения OQ-004/005/006/009, влияющие на дизайн</x:v>
      </x:c>
      <x:c r="G10" s="23" t="str">
        <x:v>Ожидает решения</x:v>
      </x:c>
      <x:c r="H10" s="23" t="str">
        <x:v>Product owner</x:v>
      </x:c>
      <x:c r="I10" s="23" t="str">
        <x:v>—</x:v>
      </x:c>
      <x:c r="J10" s="24" t="n">
        <x:v>46231.375</x:v>
      </x:c>
      <x:c r="K10" s="24" t="n">
        <x:v>46237.375</x:v>
      </x:c>
      <x:c r="L10" s="25" t="n">
        <x:v>0</x:v>
      </x:c>
      <x:c r="M10" s="23" t="str">
        <x:v>Лист Decisions</x:v>
      </x:c>
      <x:c r="N10" s="23" t="str">
        <x:v>Stage 4 Open Questions 4.5</x:v>
      </x:c>
      <x:c r="O10" s="24" t="n">
        <x:v>46231.375</x:v>
      </x:c>
      <x:c r="P10" s="23" t="str">
        <x:v>Принять решения до массовой отрисовки</x:v>
      </x:c>
      <x:c r="Q10" s="26" t="str">
        <x:v>Не блокирует три направления 5.1</x:v>
      </x:c>
    </x:row>
    <x:row r="11">
      <x:c r="A11" s="20" t="str">
        <x:v>S5-0101</x:v>
      </x:c>
      <x:c r="B11" s="21" t="str">
        <x:v>5.1</x:v>
      </x:c>
      <x:c r="C11" s="22" t="str">
        <x:v>Direction</x:v>
      </x:c>
      <x:c r="D11" s="21" t="str">
        <x:v>5.1</x:v>
      </x:c>
      <x:c r="E11" s="22" t="str">
        <x:v>P0</x:v>
      </x:c>
      <x:c r="F11" s="23" t="str">
        <x:v>Зафиксировать minimum design brief для representative Today/Tasks surface</x:v>
      </x:c>
      <x:c r="G11" s="23" t="str">
        <x:v>Готово</x:v>
      </x:c>
      <x:c r="H11" s="23" t="str">
        <x:v>Codex</x:v>
      </x:c>
      <x:c r="I11" s="23" t="str">
        <x:v>S5-0001</x:v>
      </x:c>
      <x:c r="J11" s="24" t="n">
        <x:v>46231.375</x:v>
      </x:c>
      <x:c r="K11" s="24" t="n">
        <x:v>46231.375</x:v>
      </x:c>
      <x:c r="L11" s="25" t="n">
        <x:v>1</x:v>
      </x:c>
      <x:c r="M11" s="23" t="str">
        <x:v>Brief в текущем design run</x:v>
      </x:c>
      <x:c r="N11" s="23" t="str">
        <x:v>PRD 4.5 + Stage 3.5</x:v>
      </x:c>
      <x:c r="O11" s="24" t="n">
        <x:v>46231.375</x:v>
      </x:c>
      <x:c r="P11" s="23" t="str">
        <x:v>Использовать RU desktop 1440×1024</x:v>
      </x:c>
      <x:c r="Q11" s="26" t="str">
        <x:v>Основной outcome: обзор дня и управление задачами</x:v>
      </x:c>
    </x:row>
    <x:row r="12">
      <x:c r="A12" s="20" t="str">
        <x:v>S5-0102</x:v>
      </x:c>
      <x:c r="B12" s="21" t="str">
        <x:v>5.1</x:v>
      </x:c>
      <x:c r="C12" s="22" t="str">
        <x:v>Direction</x:v>
      </x:c>
      <x:c r="D12" s="21" t="str">
        <x:v>5.1</x:v>
      </x:c>
      <x:c r="E12" s="22" t="str">
        <x:v>P0</x:v>
      </x:c>
      <x:c r="F12" s="23" t="str">
        <x:v>Проверить доступные визуальные референсы и saved context</x:v>
      </x:c>
      <x:c r="G12" s="23" t="str">
        <x:v>Готово</x:v>
      </x:c>
      <x:c r="H12" s="23" t="str">
        <x:v>Codex</x:v>
      </x:c>
      <x:c r="I12" s="23" t="str">
        <x:v>S5-0101</x:v>
      </x:c>
      <x:c r="J12" s="24" t="n">
        <x:v>46231.375</x:v>
      </x:c>
      <x:c r="K12" s="24" t="n">
        <x:v>46231.375</x:v>
      </x:c>
      <x:c r="L12" s="25" t="n">
        <x:v>1</x:v>
      </x:c>
      <x:c r="M12" s="23" t="str">
        <x:v>Product Design preflight</x:v>
      </x:c>
      <x:c r="N12" s="23" t="str">
        <x:v>Workspace design context</x:v>
      </x:c>
      <x:c r="O12" s="24" t="n">
        <x:v>46231.375</x:v>
      </x:c>
      <x:c r="P12" s="23" t="str">
        <x:v>Работать от нормативного brief</x:v>
      </x:c>
      <x:c r="Q12" s="26" t="str">
        <x:v>Saved visual references отсутствуют</x:v>
      </x:c>
    </x:row>
    <x:row r="13">
      <x:c r="A13" s="20" t="str">
        <x:v>S5-0103</x:v>
      </x:c>
      <x:c r="B13" s="21" t="str">
        <x:v>5.1</x:v>
      </x:c>
      <x:c r="C13" s="22" t="str">
        <x:v>Direction</x:v>
      </x:c>
      <x:c r="D13" s="21" t="str">
        <x:v>5.1</x:v>
      </x:c>
      <x:c r="E13" s="22" t="str">
        <x:v>P0</x:v>
      </x:c>
      <x:c r="F13" s="23" t="str">
        <x:v>Сгенерировать три независимых визуальных направления</x:v>
      </x:c>
      <x:c r="G13" s="23" t="str">
        <x:v>Готово</x:v>
      </x:c>
      <x:c r="H13" s="23" t="str">
        <x:v>Codex</x:v>
      </x:c>
      <x:c r="I13" s="23" t="str">
        <x:v>S5-0102</x:v>
      </x:c>
      <x:c r="J13" s="24" t="n">
        <x:v>46231.375</x:v>
      </x:c>
      <x:c r="K13" s="24" t="n">
        <x:v>46231.375</x:v>
      </x:c>
      <x:c r="L13" s="25" t="n">
        <x:v>1</x:v>
      </x:c>
      <x:c r="M13" s="23" t="str">
        <x:v>work/stage_5_1/directions — 3 images</x:v>
      </x:c>
      <x:c r="N13" s="23" t="str">
        <x:v>Stage 5 Plan §5.1</x:v>
      </x:c>
      <x:c r="O13" s="24" t="n">
        <x:v>46231.375</x:v>
      </x:c>
      <x:c r="P13" s="23" t="str">
        <x:v>Direction 2 выбрано; использовать как visual truth</x:v>
      </x:c>
      <x:c r="Q13" s="26" t="str">
        <x:v>Три направления показаны и рассмотрены; выбор завершён</x:v>
      </x:c>
    </x:row>
    <x:row r="14">
      <x:c r="A14" s="20" t="str">
        <x:v>S5-0104</x:v>
      </x:c>
      <x:c r="B14" s="21" t="str">
        <x:v>5.1</x:v>
      </x:c>
      <x:c r="C14" s="22" t="str">
        <x:v>Decision</x:v>
      </x:c>
      <x:c r="D14" s="21" t="str">
        <x:v>5.1</x:v>
      </x:c>
      <x:c r="E14" s="22" t="str">
        <x:v>P0</x:v>
      </x:c>
      <x:c r="F14" s="23" t="str">
        <x:v>Выбрать одно визуальное направление</x:v>
      </x:c>
      <x:c r="G14" s="23" t="str">
        <x:v>Готово</x:v>
      </x:c>
      <x:c r="H14" s="23" t="str">
        <x:v>Product owner</x:v>
      </x:c>
      <x:c r="I14" s="23" t="str">
        <x:v>S5-0103</x:v>
      </x:c>
      <x:c r="J14" s="24" t="n">
        <x:v>46231.375</x:v>
      </x:c>
      <x:c r="K14" s="24" t="n">
        <x:v>46232.375</x:v>
      </x:c>
      <x:c r="L14" s="25" t="n">
        <x:v>1</x:v>
      </x:c>
      <x:c r="M14" s="23" t="str">
        <x:v>Direction 2 selected + Visual Direction Decision Scorecard 0.1</x:v>
      </x:c>
      <x:c r="N14" s="23" t="str">
        <x:v>Stage 5 Plan Gate 5.1</x:v>
      </x:c>
      <x:c r="O14" s="24" t="n">
        <x:v>46231.375</x:v>
      </x:c>
      <x:c r="P14" s="23" t="str">
        <x:v>Реализовать foundations, components и vertical slice по Direction 2</x:v>
      </x:c>
      <x:c r="Q14" s="26" t="str">
        <x:v>Product owner выбрал Direction 2 — Timeline planner; trade-off по cross-surface complexity принят</x:v>
      </x:c>
    </x:row>
    <x:row r="15">
      <x:c r="A15" s="20" t="str">
        <x:v>S5-0105</x:v>
      </x:c>
      <x:c r="B15" s="21" t="str">
        <x:v>5.1</x:v>
      </x:c>
      <x:c r="C15" s="22" t="str">
        <x:v>Foundation</x:v>
      </x:c>
      <x:c r="D15" s="21" t="str">
        <x:v>5.1</x:v>
      </x:c>
      <x:c r="E15" s="22" t="str">
        <x:v>P0</x:v>
      </x:c>
      <x:c r="F15" s="23" t="str">
        <x:v>Определить типографику, цветовые роли, spacing и density</x:v>
      </x:c>
      <x:c r="G15" s="23" t="str">
        <x:v>Готово</x:v>
      </x:c>
      <x:c r="H15" s="23" t="str">
        <x:v>Codex</x:v>
      </x:c>
      <x:c r="I15" s="23" t="str">
        <x:v>S5-0104</x:v>
      </x:c>
      <x:c r="J15" s="24" t="n">
        <x:v>46232.375</x:v>
      </x:c>
      <x:c r="K15" s="24" t="n">
        <x:v>46237.375</x:v>
      </x:c>
      <x:c r="L15" s="25" t="n">
        <x:v>1</x:v>
      </x:c>
      <x:c r="M15" s="23" t="str">
        <x:v>Foundations_Tokens_Direction_2_0.1.md + browser-verified prototype</x:v>
      </x:c>
      <x:c r="N15" s="23" t="str">
        <x:v>Selected visual direction</x:v>
      </x:c>
      <x:c r="O15" s="24" t="n">
        <x:v>46231.375</x:v>
      </x:c>
      <x:c r="P15" s="23" t="str">
        <x:v>Использовать tokens в расширении component library</x:v>
      </x:c>
      <x:c r="Q15" s="26" t="str">
        <x:v>Typography, color roles, spacing, density и layout contract определены</x:v>
      </x:c>
    </x:row>
    <x:row r="16">
      <x:c r="A16" s="20" t="str">
        <x:v>S5-0106</x:v>
      </x:c>
      <x:c r="B16" s="21" t="str">
        <x:v>5.1</x:v>
      </x:c>
      <x:c r="C16" s="22" t="str">
        <x:v>Foundation</x:v>
      </x:c>
      <x:c r="D16" s="21" t="str">
        <x:v>5.1</x:v>
      </x:c>
      <x:c r="E16" s="22" t="str">
        <x:v>P0</x:v>
      </x:c>
      <x:c r="F16" s="23" t="str">
        <x:v>Определить interaction states и non-color semantics</x:v>
      </x:c>
      <x:c r="G16" s="23" t="str">
        <x:v>Готово</x:v>
      </x:c>
      <x:c r="H16" s="23" t="str">
        <x:v>Codex</x:v>
      </x:c>
      <x:c r="I16" s="23" t="str">
        <x:v>S5-0104</x:v>
      </x:c>
      <x:c r="J16" s="24" t="n">
        <x:v>46232.375</x:v>
      </x:c>
      <x:c r="K16" s="24" t="n">
        <x:v>46237.375</x:v>
      </x:c>
      <x:c r="L16" s="25" t="n">
        <x:v>1</x:v>
      </x:c>
      <x:c r="M16" s="23" t="str">
        <x:v>Interaction_State_Spec_Direction_2_0.1.md + browser interaction evidence</x:v>
      </x:c>
      <x:c r="N16" s="23" t="str">
        <x:v>NFR-002/003/005</x:v>
      </x:c>
      <x:c r="O16" s="24" t="n">
        <x:v>46231.375</x:v>
      </x:c>
      <x:c r="P16" s="23" t="str">
        <x:v>Проверить full state set на Gate 5.2</x:v>
      </x:c>
      <x:c r="Q16" s="26" t="str">
        <x:v>Focus, keyboard и non-color semantics определены</x:v>
      </x:c>
    </x:row>
    <x:row r="17">
      <x:c r="A17" s="20" t="str">
        <x:v>S5-0107</x:v>
      </x:c>
      <x:c r="B17" s="21" t="str">
        <x:v>5.1</x:v>
      </x:c>
      <x:c r="C17" s="22" t="str">
        <x:v>Accessibility</x:v>
      </x:c>
      <x:c r="D17" s="21" t="str">
        <x:v>5.1</x:v>
      </x:c>
      <x:c r="E17" s="22" t="str">
        <x:v>P0</x:v>
      </x:c>
      <x:c r="F17" s="23" t="str">
        <x:v>Собрать accessibility baseline для focus/contrast/scaling</x:v>
      </x:c>
      <x:c r="G17" s="23" t="str">
        <x:v>Готово</x:v>
      </x:c>
      <x:c r="H17" s="23" t="str">
        <x:v>Codex</x:v>
      </x:c>
      <x:c r="I17" s="23" t="str">
        <x:v>S5-0101</x:v>
      </x:c>
      <x:c r="J17" s="24" t="n">
        <x:v>46231.375</x:v>
      </x:c>
      <x:c r="K17" s="24" t="n">
        <x:v>46237.375</x:v>
      </x:c>
      <x:c r="L17" s="25" t="n">
        <x:v>1</x:v>
      </x:c>
      <x:c r="M17" s="23" t="str">
        <x:v>work/stage_5_1/Accessibility_Baseline_0.1.md</x:v>
      </x:c>
      <x:c r="N17" s="23" t="str">
        <x:v>NFR-002/003/004/005</x:v>
      </x:c>
      <x:c r="O17" s="24" t="n">
        <x:v>46231.375</x:v>
      </x:c>
      <x:c r="P17" s="23" t="str">
        <x:v>Применить baseline к выбранному направлению</x:v>
      </x:c>
      <x:c r="Q17" s="26" t="str">
        <x:v>Визуальные tokens проверяются после VIS-001</x:v>
      </x:c>
    </x:row>
    <x:row r="18">
      <x:c r="A18" s="20" t="str">
        <x:v>S5-0108</x:v>
      </x:c>
      <x:c r="B18" s="21" t="str">
        <x:v>5.1</x:v>
      </x:c>
      <x:c r="C18" s="22" t="str">
        <x:v>Review</x:v>
      </x:c>
      <x:c r="D18" s="21" t="str">
        <x:v>5.1</x:v>
      </x:c>
      <x:c r="E18" s="22" t="str">
        <x:v>P0</x:v>
      </x:c>
      <x:c r="F18" s="23" t="str">
        <x:v>Провести product + desktop tech review направления</x:v>
      </x:c>
      <x:c r="G18" s="23" t="str">
        <x:v>В работе</x:v>
      </x:c>
      <x:c r="H18" s="23" t="str">
        <x:v>Product owner + Tech lead</x:v>
      </x:c>
      <x:c r="I18" s="23" t="str">
        <x:v>S5-0105,S5-0106</x:v>
      </x:c>
      <x:c r="J18" s="24" t="n">
        <x:v>46237.375</x:v>
      </x:c>
      <x:c r="K18" s="24" t="n">
        <x:v>46238.375</x:v>
      </x:c>
      <x:c r="L18" s="25" t="n">
        <x:v>0.35</x:v>
      </x:c>
      <x:c r="M18" s="23" t="str">
        <x:v>design-qa.md + design-qa-stage5-surfaces.md; production build succeeds</x:v>
      </x:c>
      <x:c r="N18" s="23" t="str">
        <x:v>Gate 5.1</x:v>
      </x:c>
      <x:c r="O18" s="24" t="n">
        <x:v>46231.375</x:v>
      </x:c>
      <x:c r="P18" s="23" t="str">
        <x:v>Провести product + WPF/Windows tech review</x:v>
      </x:c>
      <x:c r="Q18" s="26" t="str">
        <x:v>Browser/visual QA passed; formal product/tech sign-off remains</x:v>
      </x:c>
    </x:row>
    <x:row r="19">
      <x:c r="A19" s="20" t="str">
        <x:v>S5-0109</x:v>
      </x:c>
      <x:c r="B19" s="21" t="str">
        <x:v>5.1</x:v>
      </x:c>
      <x:c r="C19" s="22" t="str">
        <x:v>Gate</x:v>
      </x:c>
      <x:c r="D19" s="21" t="str">
        <x:v>5.1</x:v>
      </x:c>
      <x:c r="E19" s="22" t="str">
        <x:v>P0</x:v>
      </x:c>
      <x:c r="F19" s="23" t="str">
        <x:v>Закрыть Gate 5.1</x:v>
      </x:c>
      <x:c r="G19" s="23" t="str">
        <x:v>Блокировано</x:v>
      </x:c>
      <x:c r="H19" s="23" t="str">
        <x:v>Product owner</x:v>
      </x:c>
      <x:c r="I19" s="23" t="str">
        <x:v>S5-0108</x:v>
      </x:c>
      <x:c r="J19" s="24" t="n">
        <x:v>46238.375</x:v>
      </x:c>
      <x:c r="K19" s="24" t="n">
        <x:v>46238.375</x:v>
      </x:c>
      <x:c r="L19" s="25" t="n">
        <x:v>0</x:v>
      </x:c>
      <x:c r="M19" s="23" t="str">
        <x:v>Gate 5.1 approval</x:v>
      </x:c>
      <x:c r="N19" s="23" t="str">
        <x:v>Stage 5 Plan</x:v>
      </x:c>
      <x:c r="O19" s="24" t="n">
        <x:v>46231.375</x:v>
      </x:c>
      <x:c r="P19" s="23" t="str">
        <x:v>Critical/High = 0</x:v>
      </x:c>
      <x:c r="Q19" s="26" t="str"/>
    </x:row>
    <x:row r="20">
      <x:c r="A20" s="20" t="str">
        <x:v>S5-0201</x:v>
      </x:c>
      <x:c r="B20" s="21" t="str">
        <x:v>5.2</x:v>
      </x:c>
      <x:c r="C20" s="22" t="str">
        <x:v>System</x:v>
      </x:c>
      <x:c r="D20" s="21" t="str">
        <x:v>5.2</x:v>
      </x:c>
      <x:c r="E20" s="22" t="str">
        <x:v>P0</x:v>
      </x:c>
      <x:c r="F20" s="23" t="str">
        <x:v>Сформировать component inventory из SCR/FLOW</x:v>
      </x:c>
      <x:c r="G20" s="23" t="str">
        <x:v>Готово</x:v>
      </x:c>
      <x:c r="H20" s="23" t="str">
        <x:v>Codex</x:v>
      </x:c>
      <x:c r="I20" s="23" t="str">
        <x:v>S5-0004</x:v>
      </x:c>
      <x:c r="J20" s="24" t="n">
        <x:v>46231.375</x:v>
      </x:c>
      <x:c r="K20" s="24" t="n">
        <x:v>46234.375</x:v>
      </x:c>
      <x:c r="L20" s="25" t="n">
        <x:v>1</x:v>
      </x:c>
      <x:c r="M20" s="23" t="str">
        <x:v>Component Inventory 0.1 + 45 families</x:v>
      </x:c>
      <x:c r="N20" s="23" t="str">
        <x:v>Stage 3.5 catalogs</x:v>
      </x:c>
      <x:c r="O20" s="24" t="n">
        <x:v>46231.375</x:v>
      </x:c>
      <x:c r="P20" s="23" t="str">
        <x:v>Использовать как backlog библиотеки</x:v>
      </x:c>
      <x:c r="Q20" s="26" t="str">
        <x:v>128/128 SCR mapped; FLOW grouping остаётся в S5-0004</x:v>
      </x:c>
    </x:row>
    <x:row r="21">
      <x:c r="A21" s="20" t="str">
        <x:v>S5-0202</x:v>
      </x:c>
      <x:c r="B21" s="21" t="str">
        <x:v>5.2</x:v>
      </x:c>
      <x:c r="C21" s="22" t="str">
        <x:v>System</x:v>
      </x:c>
      <x:c r="D21" s="21" t="str">
        <x:v>5.2</x:v>
      </x:c>
      <x:c r="E21" s="22" t="str">
        <x:v>P0</x:v>
      </x:c>
      <x:c r="F21" s="23" t="str">
        <x:v>Спроектировать архитектуру библиотеки и naming</x:v>
      </x:c>
      <x:c r="G21" s="23" t="str">
        <x:v>Готово</x:v>
      </x:c>
      <x:c r="H21" s="23" t="str">
        <x:v>Codex</x:v>
      </x:c>
      <x:c r="I21" s="23" t="str">
        <x:v>S5-0201</x:v>
      </x:c>
      <x:c r="J21" s="24" t="n">
        <x:v>46233.375</x:v>
      </x:c>
      <x:c r="K21" s="24" t="n">
        <x:v>46237.375</x:v>
      </x:c>
      <x:c r="L21" s="25" t="n">
        <x:v>1</x:v>
      </x:c>
      <x:c r="M21" s="23" t="str">
        <x:v>Component_Library_Architecture_0.1.md</x:v>
      </x:c>
      <x:c r="N21" s="23" t="str">
        <x:v>Component Inventory</x:v>
      </x:c>
      <x:c r="O21" s="24" t="n">
        <x:v>46231.375</x:v>
      </x:c>
      <x:c r="P21" s="23" t="str">
        <x:v>Применить architecture после VIS-001</x:v>
      </x:c>
      <x:c r="Q21" s="26" t="str">
        <x:v>9 tiers, naming, tokens, variants и composition rules готовы</x:v>
      </x:c>
    </x:row>
    <x:row r="22">
      <x:c r="A22" s="20" t="str">
        <x:v>S5-0203</x:v>
      </x:c>
      <x:c r="B22" s="21" t="str">
        <x:v>5.2</x:v>
      </x:c>
      <x:c r="C22" s="22" t="str">
        <x:v>System</x:v>
      </x:c>
      <x:c r="D22" s="21" t="str">
        <x:v>5.2</x:v>
      </x:c>
      <x:c r="E22" s="22" t="str">
        <x:v>P0</x:v>
      </x:c>
      <x:c r="F22" s="23" t="str">
        <x:v>Реализовать foundations/tokens выбранного направления</x:v>
      </x:c>
      <x:c r="G22" s="23" t="str">
        <x:v>В работе</x:v>
      </x:c>
      <x:c r="H22" s="23" t="str">
        <x:v>Codex</x:v>
      </x:c>
      <x:c r="I22" s="23" t="str">
        <x:v>S5-0104,S5-0202</x:v>
      </x:c>
      <x:c r="J22" s="24" t="n">
        <x:v>46237.375</x:v>
      </x:c>
      <x:c r="K22" s="24" t="n">
        <x:v>46239.375</x:v>
      </x:c>
      <x:c r="L22" s="25" t="n">
        <x:v>0.75</x:v>
      </x:c>
      <x:c r="M22" s="23" t="str">
        <x:v>Direction 2 foundations/tokens + prototype CSS across Today, Tasks, Projects, Notifications and component-completion wave</x:v>
      </x:c>
      <x:c r="N22" s="23" t="str">
        <x:v>Selected direction</x:v>
      </x:c>
      <x:c r="O22" s="24" t="n">
        <x:v>46231.375</x:v>
      </x:c>
      <x:c r="P22" s="23" t="str">
        <x:v>Довести Design Tokens до версии 1.0 после tech review</x:v>
      </x:c>
      <x:c r="Q22" s="26" t="str">
        <x:v>Tokens применены ко всем representative component families и прошли browser Design QA</x:v>
      </x:c>
    </x:row>
    <x:row r="23">
      <x:c r="A23" s="20" t="str">
        <x:v>S5-0204</x:v>
      </x:c>
      <x:c r="B23" s="21" t="str">
        <x:v>5.2</x:v>
      </x:c>
      <x:c r="C23" s="22" t="str">
        <x:v>Components</x:v>
      </x:c>
      <x:c r="D23" s="21" t="str">
        <x:v>5.2</x:v>
      </x:c>
      <x:c r="E23" s="22" t="str">
        <x:v>P0</x:v>
      </x:c>
      <x:c r="F23" s="23" t="str">
        <x:v>App shell, navigation, command bar и page header</x:v>
      </x:c>
      <x:c r="G23" s="23" t="str">
        <x:v>В работе</x:v>
      </x:c>
      <x:c r="H23" s="23" t="str">
        <x:v>Codex</x:v>
      </x:c>
      <x:c r="I23" s="23" t="str">
        <x:v>S5-0203</x:v>
      </x:c>
      <x:c r="J23" s="24" t="n">
        <x:v>46238.375</x:v>
      </x:c>
      <x:c r="K23" s="24" t="n">
        <x:v>46241.375</x:v>
      </x:c>
      <x:c r="L23" s="25" t="n">
        <x:v>0.86</x:v>
      </x:c>
      <x:c r="M23" s="23" t="str">
        <x:v>Prototype shell with Today, Inbox, Tasks and Projects navigation; Search, Notification and connection/profile commands</x:v>
      </x:c>
      <x:c r="N23" s="23" t="str">
        <x:v>SCR Shell</x:v>
      </x:c>
      <x:c r="O23" s="24" t="n">
        <x:v>46231.375</x:v>
      </x:c>
      <x:c r="P23" s="23" t="str">
        <x:v>Добавить remaining settings/admin shell variants</x:v>
      </x:c>
      <x:c r="Q23" s="26" t="str">
        <x:v>Direction 2 shell and responsive header browser-verified at 1280×720</x:v>
      </x:c>
    </x:row>
    <x:row r="24">
      <x:c r="A24" s="20" t="str">
        <x:v>S5-0205</x:v>
      </x:c>
      <x:c r="B24" s="21" t="str">
        <x:v>5.2</x:v>
      </x:c>
      <x:c r="C24" s="22" t="str">
        <x:v>Components</x:v>
      </x:c>
      <x:c r="D24" s="21" t="str">
        <x:v>5.2</x:v>
      </x:c>
      <x:c r="E24" s="22" t="str">
        <x:v>P0</x:v>
      </x:c>
      <x:c r="F24" s="23" t="str">
        <x:v>Buttons, inputs, selectors, picker и search components</x:v>
      </x:c>
      <x:c r="G24" s="23" t="str">
        <x:v>В работе</x:v>
      </x:c>
      <x:c r="H24" s="23" t="str">
        <x:v>Codex</x:v>
      </x:c>
      <x:c r="I24" s="23" t="str">
        <x:v>S5-0203</x:v>
      </x:c>
      <x:c r="J24" s="24" t="n">
        <x:v>46238.375</x:v>
      </x:c>
      <x:c r="K24" s="24" t="n">
        <x:v>46242.375</x:v>
      </x:c>
      <x:c r="L24" s="25" t="n">
        <x:v>0.94</x:v>
      </x:c>
      <x:c r="M24" s="23" t="str">
        <x:v>New Task, Auth, Inbox conversion, Edit/Search, People/Project pickers, DateTimePicker, ReminderEditor and RecurrenceEditor</x:v>
      </x:c>
      <x:c r="N24" s="23" t="str">
        <x:v>SCR/FLOW input surfaces</x:v>
      </x:c>
      <x:c r="O24" s="24" t="n">
        <x:v>46231.375</x:v>
      </x:c>
      <x:c r="P24" s="23" t="str">
        <x:v>Провести formal Windows control and timezone review</x:v>
      </x:c>
      <x:c r="Q24" s="26" t="str">
        <x:v>Representative input/picker families interactive and browser-verified</x:v>
      </x:c>
    </x:row>
    <x:row r="25">
      <x:c r="A25" s="20" t="str">
        <x:v>S5-0206</x:v>
      </x:c>
      <x:c r="B25" s="21" t="str">
        <x:v>5.2</x:v>
      </x:c>
      <x:c r="C25" s="22" t="str">
        <x:v>Components</x:v>
      </x:c>
      <x:c r="D25" s="21" t="str">
        <x:v>5.2</x:v>
      </x:c>
      <x:c r="E25" s="22" t="str">
        <x:v>P0</x:v>
      </x:c>
      <x:c r="F25" s="23" t="str">
        <x:v>List/table/tree/cards/badges/pagination patterns</x:v>
      </x:c>
      <x:c r="G25" s="23" t="str">
        <x:v>В работе</x:v>
      </x:c>
      <x:c r="H25" s="23" t="str">
        <x:v>Codex</x:v>
      </x:c>
      <x:c r="I25" s="23" t="str">
        <x:v>S5-0203</x:v>
      </x:c>
      <x:c r="J25" s="24" t="n">
        <x:v>46239.375</x:v>
      </x:c>
      <x:c r="K25" s="24" t="n">
        <x:v>46244.375</x:v>
      </x:c>
      <x:c r="L25" s="25" t="n">
        <x:v>0.94</x:v>
      </x:c>
      <x:c r="M25" s="23" t="str">
        <x:v>Timeline/cards, Inbox list/inspector, Search results, Tasks table/filter/pagination, SelectionBar, bulk summary and Projects tree/history</x:v>
      </x:c>
      <x:c r="N25" s="23" t="str">
        <x:v>NFR-006</x:v>
      </x:c>
      <x:c r="O25" s="24" t="n">
        <x:v>46231.375</x:v>
      </x:c>
      <x:c r="P25" s="23" t="str">
        <x:v>Добавить virtualization evidence for large datasets</x:v>
      </x:c>
      <x:c r="Q25" s="26" t="str">
        <x:v>Core list/table/tree/card/pagination and bulk patterns browser-verified</x:v>
      </x:c>
    </x:row>
    <x:row r="26">
      <x:c r="A26" s="20" t="str">
        <x:v>S5-0207</x:v>
      </x:c>
      <x:c r="B26" s="21" t="str">
        <x:v>5.2</x:v>
      </x:c>
      <x:c r="C26" s="22" t="str">
        <x:v>Components</x:v>
      </x:c>
      <x:c r="D26" s="21" t="str">
        <x:v>5.2</x:v>
      </x:c>
      <x:c r="E26" s="22" t="str">
        <x:v>P0</x:v>
      </x:c>
      <x:c r="F26" s="23" t="str">
        <x:v>Dialog/panel/toast/inline message/Notification Center</x:v>
      </x:c>
      <x:c r="G26" s="23" t="str">
        <x:v>В работе</x:v>
      </x:c>
      <x:c r="H26" s="23" t="str">
        <x:v>Codex</x:v>
      </x:c>
      <x:c r="I26" s="23" t="str">
        <x:v>S5-0203</x:v>
      </x:c>
      <x:c r="J26" s="24" t="n">
        <x:v>46239.375</x:v>
      </x:c>
      <x:c r="K26" s="24" t="n">
        <x:v>46244.375</x:v>
      </x:c>
      <x:c r="L26" s="25" t="n">
        <x:v>0.94</x:v>
      </x:c>
      <x:c r="M26" s="23" t="str">
        <x:v>Dialogs, drawer, toast, inline messages, Search overlay, diagnostics, Notification Center and permission-aware ContextMenu</x:v>
      </x:c>
      <x:c r="N26" s="23" t="str">
        <x:v>SCR notifications/shared</x:v>
      </x:c>
      <x:c r="O26" s="24" t="n">
        <x:v>46231.375</x:v>
      </x:c>
      <x:c r="P26" s="23" t="str">
        <x:v>Добавить Windows-toast visual handoff variant</x:v>
      </x:c>
      <x:c r="Q26" s="26" t="str">
        <x:v>Overlay and action-surface families are interactive; formal OS handoff remains</x:v>
      </x:c>
    </x:row>
    <x:row r="27">
      <x:c r="A27" s="20" t="str">
        <x:v>S5-0208</x:v>
      </x:c>
      <x:c r="B27" s="21" t="str">
        <x:v>5.2</x:v>
      </x:c>
      <x:c r="C27" s="22" t="str">
        <x:v>States</x:v>
      </x:c>
      <x:c r="D27" s="21" t="str">
        <x:v>5.2</x:v>
      </x:c>
      <x:c r="E27" s="22" t="str">
        <x:v>P0</x:v>
      </x:c>
      <x:c r="F27" s="23" t="str">
        <x:v>Loading/empty/error/read-only/offline/conflict/recovery components</x:v>
      </x:c>
      <x:c r="G27" s="23" t="str">
        <x:v>В работе</x:v>
      </x:c>
      <x:c r="H27" s="23" t="str">
        <x:v>Codex</x:v>
      </x:c>
      <x:c r="I27" s="23" t="str">
        <x:v>S5-0203,S5-0106</x:v>
      </x:c>
      <x:c r="J27" s="24" t="n">
        <x:v>46240.375</x:v>
      </x:c>
      <x:c r="K27" s="24" t="n">
        <x:v>46245.375</x:v>
      </x:c>
      <x:c r="L27" s="25" t="n">
        <x:v>0.98</x:v>
      </x:c>
      <x:c r="M27" s="23" t="str">
        <x:v>Loading, empty, validation, TLS, locked, redaction, read-only, maintenance, storage-full, conflict, revoked session, recovery, lifecycle and file-location failure</x:v>
      </x:c>
      <x:c r="N27" s="23" t="str">
        <x:v>Stage 3.5 State Matrix</x:v>
      </x:c>
      <x:c r="O27" s="24" t="n">
        <x:v>46231.375</x:v>
      </x:c>
      <x:c r="P27" s="23" t="str">
        <x:v>Провести formal shared-state review</x:v>
      </x:c>
      <x:c r="Q27" s="26" t="str">
        <x:v>Representative shared-state family browser-verified across all 45 component families</x:v>
      </x:c>
    </x:row>
    <x:row r="28">
      <x:c r="A28" s="20" t="str">
        <x:v>S5-0209</x:v>
      </x:c>
      <x:c r="B28" s="21" t="str">
        <x:v>5.2</x:v>
      </x:c>
      <x:c r="C28" s="22" t="str">
        <x:v>Slice</x:v>
      </x:c>
      <x:c r="D28" s="21" t="str">
        <x:v>5.2</x:v>
      </x:c>
      <x:c r="E28" s="22" t="str">
        <x:v>P0</x:v>
      </x:c>
      <x:c r="F28" s="23" t="str">
        <x:v>Макеты Auth/first connection и Shell/Today</x:v>
      </x:c>
      <x:c r="G28" s="23" t="str">
        <x:v>В работе</x:v>
      </x:c>
      <x:c r="H28" s="23" t="str">
        <x:v>Codex</x:v>
      </x:c>
      <x:c r="I28" s="23" t="str">
        <x:v>S5-0204,S5-0205</x:v>
      </x:c>
      <x:c r="J28" s="24" t="n">
        <x:v>46241.375</x:v>
      </x:c>
      <x:c r="K28" s="24" t="n">
        <x:v>46246.375</x:v>
      </x:c>
      <x:c r="L28" s="25" t="n">
        <x:v>0.99</x:v>
      </x:c>
      <x:c r="M28" s="23" t="str">
        <x:v>Auth/first connection including TLS/incompatible/unavailable, locked/blocked, cursor/scope, download/signature failure, repeated failure and SESSION_REVOKED</x:v>
      </x:c>
      <x:c r="N28" s="23" t="str">
        <x:v>FLOW-001/002</x:v>
      </x:c>
      <x:c r="O28" s="24" t="n">
        <x:v>46231.375</x:v>
      </x:c>
      <x:c r="P28" s="23" t="str">
        <x:v>Провести formal sign-off</x:v>
      </x:c>
      <x:c r="Q28" s="26" t="str">
        <x:v>FLOW-001/002 contracted primary and edge paths browser-verified</x:v>
      </x:c>
    </x:row>
    <x:row r="29">
      <x:c r="A29" s="20" t="str">
        <x:v>S5-0210</x:v>
      </x:c>
      <x:c r="B29" s="21" t="str">
        <x:v>5.2</x:v>
      </x:c>
      <x:c r="C29" s="22" t="str">
        <x:v>Slice</x:v>
      </x:c>
      <x:c r="D29" s="21" t="str">
        <x:v>5.2</x:v>
      </x:c>
      <x:c r="E29" s="22" t="str">
        <x:v>P0</x:v>
      </x:c>
      <x:c r="F29" s="23" t="str">
        <x:v>Макеты Inbox capture и Create/Edit Task</x:v>
      </x:c>
      <x:c r="G29" s="23" t="str">
        <x:v>В работе</x:v>
      </x:c>
      <x:c r="H29" s="23" t="str">
        <x:v>Codex</x:v>
      </x:c>
      <x:c r="I29" s="23" t="str">
        <x:v>S5-0205,S5-0206</x:v>
      </x:c>
      <x:c r="J29" s="24" t="n">
        <x:v>46242.375</x:v>
      </x:c>
      <x:c r="K29" s="24" t="n">
        <x:v>46247.375</x:v>
      </x:c>
      <x:c r="L29" s="25" t="n">
        <x:v>0.95</x:v>
      </x:c>
      <x:c r="M29" s="23" t="str">
        <x:v>New Task + Inbox capture/conversion + full edit/conflict + assignee/project/date-time/reminder/recurrence editors</x:v>
      </x:c>
      <x:c r="N29" s="23" t="str">
        <x:v>FLOW-004/005/034</x:v>
      </x:c>
      <x:c r="O29" s="24" t="n">
        <x:v>46231.375</x:v>
      </x:c>
      <x:c r="P29" s="23" t="str">
        <x:v>Провести formal sign-off и Windows control review</x:v>
      </x:c>
      <x:c r="Q29" s="26" t="str">
        <x:v>FLOW-004/005/034 primary paths and scheduling variants browser-verified</x:v>
      </x:c>
    </x:row>
    <x:row r="30">
      <x:c r="A30" s="20" t="str">
        <x:v>S5-0211</x:v>
      </x:c>
      <x:c r="B30" s="21" t="str">
        <x:v>5.2</x:v>
      </x:c>
      <x:c r="C30" s="22" t="str">
        <x:v>Slice</x:v>
      </x:c>
      <x:c r="D30" s="21" t="str">
        <x:v>5.2</x:v>
      </x:c>
      <x:c r="E30" s="22" t="str">
        <x:v>P0</x:v>
      </x:c>
      <x:c r="F30" s="23" t="str">
        <x:v>Макеты Global Search с employee redaction</x:v>
      </x:c>
      <x:c r="G30" s="23" t="str">
        <x:v>В работе</x:v>
      </x:c>
      <x:c r="H30" s="23" t="str">
        <x:v>Codex</x:v>
      </x:c>
      <x:c r="I30" s="23" t="str">
        <x:v>S5-0205,S5-0206</x:v>
      </x:c>
      <x:c r="J30" s="24" t="n">
        <x:v>46243.375</x:v>
      </x:c>
      <x:c r="K30" s="24" t="n">
        <x:v>46247.375</x:v>
      </x:c>
      <x:c r="L30" s="25" t="n">
        <x:v>0.93</x:v>
      </x:c>
      <x:c r="M30" s="23" t="str">
        <x:v>Global Search, filters, keyboard selection and employee redaction; Tasks pagination pattern</x:v>
      </x:c>
      <x:c r="N30" s="23" t="str">
        <x:v>FLOW-019</x:v>
      </x:c>
      <x:c r="O30" s="24" t="n">
        <x:v>46231.375</x:v>
      </x:c>
      <x:c r="P30" s="23" t="str">
        <x:v>Добавить large-result performance evidence before sign-off</x:v>
      </x:c>
      <x:c r="Q30" s="26" t="str">
        <x:v>FLOW-019 permission-safe search browser-verified</x:v>
      </x:c>
    </x:row>
    <x:row r="31">
      <x:c r="A31" s="20" t="str">
        <x:v>S5-0212</x:v>
      </x:c>
      <x:c r="B31" s="21" t="str">
        <x:v>5.2</x:v>
      </x:c>
      <x:c r="C31" s="22" t="str">
        <x:v>Slice</x:v>
      </x:c>
      <x:c r="D31" s="21" t="str">
        <x:v>5.2</x:v>
      </x:c>
      <x:c r="E31" s="22" t="str">
        <x:v>P0</x:v>
      </x:c>
      <x:c r="F31" s="23" t="str">
        <x:v>Макеты server loss → read-only → recovery и conflict</x:v>
      </x:c>
      <x:c r="G31" s="23" t="str">
        <x:v>В работе</x:v>
      </x:c>
      <x:c r="H31" s="23" t="str">
        <x:v>Codex</x:v>
      </x:c>
      <x:c r="I31" s="23" t="str">
        <x:v>S5-0208</x:v>
      </x:c>
      <x:c r="J31" s="24" t="n">
        <x:v>46244.375</x:v>
      </x:c>
      <x:c r="K31" s="24" t="n">
        <x:v>46248.375</x:v>
      </x:c>
      <x:c r="L31" s="25" t="n">
        <x:v>0.99</x:v>
      </x:c>
      <x:c r="M31" s="23" t="str">
        <x:v>Server loss → read-only → reconnect/interruption → scope validation → recovery + maintenance/storage/conflict/revoked/repeated failure</x:v>
      </x:c>
      <x:c r="N31" s="23" t="str">
        <x:v>FLOW-022–025</x:v>
      </x:c>
      <x:c r="O31" s="24" t="n">
        <x:v>46231.375</x:v>
      </x:c>
      <x:c r="P31" s="23" t="str">
        <x:v>Провести formal resilience review</x:v>
      </x:c>
      <x:c r="Q31" s="26" t="str">
        <x:v>FLOW-022–025 primary and boundary walkthrough browser-verified</x:v>
      </x:c>
    </x:row>
    <x:row r="32">
      <x:c r="A32" s="20" t="str">
        <x:v>S5-0213</x:v>
      </x:c>
      <x:c r="B32" s="21" t="str">
        <x:v>5.2</x:v>
      </x:c>
      <x:c r="C32" s="22" t="str">
        <x:v>Prototype</x:v>
      </x:c>
      <x:c r="D32" s="21" t="str">
        <x:v>5.2</x:v>
      </x:c>
      <x:c r="E32" s="22" t="str">
        <x:v>P0</x:v>
      </x:c>
      <x:c r="F32" s="23" t="str">
        <x:v>Собрать интерактивный prototype vertical slice</x:v>
      </x:c>
      <x:c r="G32" s="23" t="str">
        <x:v>В работе</x:v>
      </x:c>
      <x:c r="H32" s="23" t="str">
        <x:v>Codex</x:v>
      </x:c>
      <x:c r="I32" s="23" t="str">
        <x:v>S5-0209,S5-0210,S5-0211,S5-0212</x:v>
      </x:c>
      <x:c r="J32" s="24" t="n">
        <x:v>46246.375</x:v>
      </x:c>
      <x:c r="K32" s="24" t="n">
        <x:v>46251.375</x:v>
      </x:c>
      <x:c r="L32" s="25" t="n">
        <x:v>0.99</x:v>
      </x:c>
      <x:c r="M32" s="23" t="str">
        <x:v>work/stage_5_prototype — all 45 component families have representative Direction 2 behavior and visual evidence</x:v>
      </x:c>
      <x:c r="N32" s="23" t="str">
        <x:v>Stage 5 Plan §5.2</x:v>
      </x:c>
      <x:c r="O32" s="24" t="n">
        <x:v>46231.375</x:v>
      </x:c>
      <x:c r="P32" s="23" t="str">
        <x:v>Freeze prototype candidate after formal accessibility and stakeholder review</x:v>
      </x:c>
      <x:c r="Q32" s="26" t="str">
        <x:v>Production build, scenario, semantic/browser and visual QA pass</x:v>
      </x:c>
    </x:row>
    <x:row r="33">
      <x:c r="A33" s="20" t="str">
        <x:v>S5-0214</x:v>
      </x:c>
      <x:c r="B33" s="21" t="str">
        <x:v>5.2</x:v>
      </x:c>
      <x:c r="C33" s="22" t="str">
        <x:v>Accessibility</x:v>
      </x:c>
      <x:c r="D33" s="21" t="str">
        <x:v>5.2</x:v>
      </x:c>
      <x:c r="E33" s="22" t="str">
        <x:v>P0</x:v>
      </x:c>
      <x:c r="F33" s="23" t="str">
        <x:v>Проверить keyboard-only, focus и accessible names/states</x:v>
      </x:c>
      <x:c r="G33" s="23" t="str">
        <x:v>В работе</x:v>
      </x:c>
      <x:c r="H33" s="23" t="str">
        <x:v>QA + Codex</x:v>
      </x:c>
      <x:c r="I33" s="23" t="str">
        <x:v>S5-0213,S5-0107</x:v>
      </x:c>
      <x:c r="J33" s="24" t="n">
        <x:v>46251.375</x:v>
      </x:c>
      <x:c r="K33" s="24" t="n">
        <x:v>46252.375</x:v>
      </x:c>
      <x:c r="L33" s="25" t="n">
        <x:v>0.74</x:v>
      </x:c>
      <x:c r="M33" s="23" t="str">
        <x:v>Keyboard flows, focus trap wrap/return, accessible names/states, menu/table/tree/pagination/history semantics, 150% DPI, adaptive snapshot and reduced motion</x:v>
      </x:c>
      <x:c r="N33" s="23" t="str">
        <x:v>NFR-002/003/005</x:v>
      </x:c>
      <x:c r="O33" s="24" t="n">
        <x:v>46231.375</x:v>
      </x:c>
      <x:c r="P33" s="23" t="str">
        <x:v>Провести UIA/Narrator/actual 200% scaling and contrast-tool review</x:v>
      </x:c>
      <x:c r="Q33" s="26" t="str">
        <x:v>Browser semantic/responsive/focus evidence passed; OS assistive-tech evidence pending</x:v>
      </x:c>
    </x:row>
    <x:row r="34">
      <x:c r="A34" s="20" t="str">
        <x:v>S5-0215</x:v>
      </x:c>
      <x:c r="B34" s="21" t="str">
        <x:v>5.2</x:v>
      </x:c>
      <x:c r="C34" s="22" t="str">
        <x:v>Handoff</x:v>
      </x:c>
      <x:c r="D34" s="21" t="str">
        <x:v>5.2</x:v>
      </x:c>
      <x:c r="E34" s="22" t="str">
        <x:v>P0</x:v>
      </x:c>
      <x:c r="F34" s="23" t="str">
        <x:v>Подготовить component-to-SCR usage map и specs</x:v>
      </x:c>
      <x:c r="G34" s="23" t="str">
        <x:v>Готово</x:v>
      </x:c>
      <x:c r="H34" s="23" t="str">
        <x:v>Codex</x:v>
      </x:c>
      <x:c r="I34" s="23" t="str">
        <x:v>S5-0213</x:v>
      </x:c>
      <x:c r="J34" s="24" t="n">
        <x:v>46250.375</x:v>
      </x:c>
      <x:c r="K34" s="24" t="n">
        <x:v>46253.375</x:v>
      </x:c>
      <x:c r="L34" s="25" t="n">
        <x:v>1</x:v>
      </x:c>
      <x:c r="M34" s="23" t="str">
        <x:v>Component Usage Map 1.0 + Implementation Specs 0.9 + validation</x:v>
      </x:c>
      <x:c r="N34" s="23" t="str">
        <x:v>Traceability Matrix</x:v>
      </x:c>
      <x:c r="O34" s="24" t="n">
        <x:v>46231.375</x:v>
      </x:c>
      <x:c r="P34" s="23" t="str">
        <x:v>Поддерживать freeze при изменениях component contracts</x:v>
      </x:c>
      <x:c r="Q34" s="26" t="str">
        <x:v>45/45 families, 128/128 SCR и 37/37 FLOW; behavior/failure/accessibility contracts и explicit gaps зафиксированы</x:v>
      </x:c>
    </x:row>
    <x:row r="35">
      <x:c r="A35" s="20" t="str">
        <x:v>S5-0216</x:v>
      </x:c>
      <x:c r="B35" s="21" t="str">
        <x:v>5.2</x:v>
      </x:c>
      <x:c r="C35" s="22" t="str">
        <x:v>Gate</x:v>
      </x:c>
      <x:c r="D35" s="21" t="str">
        <x:v>5.2</x:v>
      </x:c>
      <x:c r="E35" s="22" t="str">
        <x:v>P0</x:v>
      </x:c>
      <x:c r="F35" s="23" t="str">
        <x:v>Закрыть Gate 5.2</x:v>
      </x:c>
      <x:c r="G35" s="23" t="str">
        <x:v>Блокировано</x:v>
      </x:c>
      <x:c r="H35" s="23" t="str">
        <x:v>Product owner + Tech lead + QA</x:v>
      </x:c>
      <x:c r="I35" s="23" t="str">
        <x:v>S5-0214,S5-0215</x:v>
      </x:c>
      <x:c r="J35" s="24" t="n">
        <x:v>46253.375</x:v>
      </x:c>
      <x:c r="K35" s="24" t="n">
        <x:v>46253.375</x:v>
      </x:c>
      <x:c r="L35" s="25" t="n">
        <x:v>0</x:v>
      </x:c>
      <x:c r="M35" s="23" t="str">
        <x:v>Gate 5.2 approval</x:v>
      </x:c>
      <x:c r="N35" s="23" t="str">
        <x:v>Stage 5 Plan</x:v>
      </x:c>
      <x:c r="O35" s="24" t="n">
        <x:v>46231.375</x:v>
      </x:c>
      <x:c r="P35" s="23" t="str">
        <x:v>Critical/High = 0</x:v>
      </x:c>
      <x:c r="Q35" s="26" t="str"/>
    </x:row>
    <x:row r="36">
      <x:c r="A36" s="20" t="str">
        <x:v>S5-0301</x:v>
      </x:c>
      <x:c r="B36" s="21" t="str">
        <x:v>5.3</x:v>
      </x:c>
      <x:c r="C36" s="22" t="str">
        <x:v>Wave A</x:v>
      </x:c>
      <x:c r="D36" s="21" t="str">
        <x:v>5.3</x:v>
      </x:c>
      <x:c r="E36" s="22" t="str">
        <x:v>P1</x:v>
      </x:c>
      <x:c r="F36" s="23" t="str">
        <x:v>Today, Inbox, Tasks, Subtasks/Checklists</x:v>
      </x:c>
      <x:c r="G36" s="23" t="str">
        <x:v>В работе</x:v>
      </x:c>
      <x:c r="H36" s="23" t="str">
        <x:v>Design</x:v>
      </x:c>
      <x:c r="I36" s="23" t="str">
        <x:v>S5-0216</x:v>
      </x:c>
      <x:c r="J36" s="24" t="n">
        <x:v>46254.375</x:v>
      </x:c>
      <x:c r="K36" s="24" t="n">
        <x:v>46262.375</x:v>
      </x:c>
      <x:c r="L36" s="25" t="n">
        <x:v>0.9</x:v>
      </x:c>
      <x:c r="M36" s="23" t="str">
        <x:v>Wave A prototype + VALIDATION_REPORT 0.1.1: Today/Inbox/Tasks и one-level checklist browser-verified</x:v>
      </x:c>
      <x:c r="N36" s="23" t="str">
        <x:v>Stage 5 Plan §5.3</x:v>
      </x:c>
      <x:c r="O36" s="24" t="n">
        <x:v>46234.375</x:v>
      </x:c>
      <x:c r="P36" s="23" t="str">
        <x:v>Завершить annotated-frame review Wave A</x:v>
      </x:c>
      <x:c r="Q36" s="26" t="str">
        <x:v>Работающая реализация принята; формальное утверждение экранов остаётся</x:v>
      </x:c>
    </x:row>
    <x:row r="37">
      <x:c r="A37" s="20" t="str">
        <x:v>S5-0302</x:v>
      </x:c>
      <x:c r="B37" s="21" t="str">
        <x:v>5.3</x:v>
      </x:c>
      <x:c r="C37" s="22" t="str">
        <x:v>Wave A</x:v>
      </x:c>
      <x:c r="D37" s="21" t="str">
        <x:v>5.3</x:v>
      </x:c>
      <x:c r="E37" s="22" t="str">
        <x:v>P1</x:v>
      </x:c>
      <x:c r="F37" s="23" t="str">
        <x:v>Recurrence, reminders, notifications, Calendar</x:v>
      </x:c>
      <x:c r="G37" s="23" t="str">
        <x:v>Готово</x:v>
      </x:c>
      <x:c r="H37" s="23" t="str">
        <x:v>Design</x:v>
      </x:c>
      <x:c r="I37" s="23" t="str">
        <x:v>S5-0216</x:v>
      </x:c>
      <x:c r="J37" s="24" t="n">
        <x:v>46258.375</x:v>
      </x:c>
      <x:c r="K37" s="24" t="n">
        <x:v>46269.375</x:v>
      </x:c>
      <x:c r="L37" s="25" t="n">
        <x:v>1</x:v>
      </x:c>
      <x:c r="M37" s="23" t="str">
        <x:v>CalendarEvent editor package 0.1.0: canonical create/edit fields, attendees, RSVP, validation/version/permission/session states, overlap, offline, 15/15 tests and browser QA verified</x:v>
      </x:c>
      <x:c r="N37" s="23" t="str">
        <x:v>Stage 5 Plan §5.3</x:v>
      </x:c>
      <x:c r="O37" s="24" t="n">
        <x:v>46234.375</x:v>
      </x:c>
      <x:c r="P37" s="23" t="str">
        <x:v>Провести formal annotated-frame, role and native Windows review</x:v>
      </x:c>
      <x:c r="Q37" s="26" t="str">
        <x:v>SCR-044/FLOW-031 prototype implementation доказана; formal Gate approval остаётся отдельно</x:v>
      </x:c>
    </x:row>
    <x:row r="38">
      <x:c r="A38" s="20" t="str">
        <x:v>S5-0303</x:v>
      </x:c>
      <x:c r="B38" s="21" t="str">
        <x:v>5.3</x:v>
      </x:c>
      <x:c r="C38" s="22" t="str">
        <x:v>Wave B</x:v>
      </x:c>
      <x:c r="D38" s="21" t="str">
        <x:v>5.3</x:v>
      </x:c>
      <x:c r="E38" s="22" t="str">
        <x:v>P1</x:v>
      </x:c>
      <x:c r="F38" s="23" t="str">
        <x:v>Projects, members и lifecycle</x:v>
      </x:c>
      <x:c r="G38" s="23" t="str">
        <x:v>В работе</x:v>
      </x:c>
      <x:c r="H38" s="23" t="str">
        <x:v>Design</x:v>
      </x:c>
      <x:c r="I38" s="23" t="str">
        <x:v>S5-0216</x:v>
      </x:c>
      <x:c r="J38" s="24" t="n">
        <x:v>46265.375</x:v>
      </x:c>
      <x:c r="K38" s="24" t="n">
        <x:v>46273.375</x:v>
      </x:c>
      <x:c r="L38" s="25" t="n">
        <x:v>0.88</x:v>
      </x:c>
      <x:c r="M38" s="23" t="str">
        <x:v>Wave B implementation validation 0.1.0: Projects/members/lifecycle interactive states, build/tests и browser QA verified</x:v>
      </x:c>
      <x:c r="N38" s="23" t="str">
        <x:v>Stage 5 Plan §5.3</x:v>
      </x:c>
      <x:c r="O38" s="24" t="n">
        <x:v>46234.375</x:v>
      </x:c>
      <x:c r="P38" s="23" t="str">
        <x:v>Провести formal annotated-frame и role/runtime review</x:v>
      </x:c>
      <x:c r="Q38" s="26" t="str">
        <x:v>Prototype implementation доказана; formal approval и native Windows evidence остаются</x:v>
      </x:c>
    </x:row>
    <x:row r="39">
      <x:c r="A39" s="20" t="str">
        <x:v>S5-0304</x:v>
      </x:c>
      <x:c r="B39" s="21" t="str">
        <x:v>5.3</x:v>
      </x:c>
      <x:c r="C39" s="22" t="str">
        <x:v>Wave B</x:v>
      </x:c>
      <x:c r="D39" s="21" t="str">
        <x:v>5.3</x:v>
      </x:c>
      <x:c r="E39" s="22" t="str">
        <x:v>P1</x:v>
      </x:c>
      <x:c r="F39" s="23" t="str">
        <x:v>Files/FileLocations и SMB diagnostics</x:v>
      </x:c>
      <x:c r="G39" s="23" t="str">
        <x:v>В работе</x:v>
      </x:c>
      <x:c r="H39" s="23" t="str">
        <x:v>Design</x:v>
      </x:c>
      <x:c r="I39" s="23" t="str">
        <x:v>S5-0216</x:v>
      </x:c>
      <x:c r="J39" s="24" t="n">
        <x:v>46267.375</x:v>
      </x:c>
      <x:c r="K39" s="24" t="n">
        <x:v>46275.375</x:v>
      </x:c>
      <x:c r="L39" s="25" t="n">
        <x:v>0.85</x:v>
      </x:c>
      <x:c r="M39" s="23" t="str">
        <x:v>Wave B implementation validation 0.1.0: Files/FileLocations, six safe diagnostics, UNSAFE_PATH, relink/add-alternative и metadata/SMB boundary verified</x:v>
      </x:c>
      <x:c r="N39" s="23" t="str">
        <x:v>Stage 5 Plan §5.3</x:v>
      </x:c>
      <x:c r="O39" s="24" t="n">
        <x:v>46234.375</x:v>
      </x:c>
      <x:c r="P39" s="23" t="str">
        <x:v>Провести Windows/SMB runtime и native picker verification</x:v>
      </x:c>
      <x:c r="Q39" s="26" t="str">
        <x:v>Prototype design states доказаны; реальная SMB/OS availability не заявляется</x:v>
      </x:c>
    </x:row>
    <x:row r="40">
      <x:c r="A40" s="20" t="str">
        <x:v>S5-0305</x:v>
      </x:c>
      <x:c r="B40" s="21" t="str">
        <x:v>5.3</x:v>
      </x:c>
      <x:c r="C40" s="22" t="str">
        <x:v>Wave B</x:v>
      </x:c>
      <x:c r="D40" s="21" t="str">
        <x:v>5.3</x:v>
      </x:c>
      <x:c r="E40" s="22" t="str">
        <x:v>P1</x:v>
      </x:c>
      <x:c r="F40" s="23" t="str">
        <x:v>CRM, comments, watchers и history</x:v>
      </x:c>
      <x:c r="G40" s="23" t="str">
        <x:v>В работе</x:v>
      </x:c>
      <x:c r="H40" s="23" t="str">
        <x:v>Design</x:v>
      </x:c>
      <x:c r="I40" s="23" t="str">
        <x:v>S5-0216</x:v>
      </x:c>
      <x:c r="J40" s="24" t="n">
        <x:v>46269.375</x:v>
      </x:c>
      <x:c r="K40" s="24" t="n">
        <x:v>46279.375</x:v>
      </x:c>
      <x:c r="L40" s="25" t="n">
        <x:v>0.84</x:v>
      </x:c>
      <x:c r="M40" s="23" t="str">
        <x:v>Wave B implementation validation 0.1.0: CRM, comments, history и task-card watchers с Task.Watch/read-only states verified</x:v>
      </x:c>
      <x:c r="N40" s="23" t="str">
        <x:v>Stage 5 Plan §5.3</x:v>
      </x:c>
      <x:c r="O40" s="24" t="n">
        <x:v>46234.375</x:v>
      </x:c>
      <x:c r="P40" s="23" t="str">
        <x:v>Провести formal frame/accessibility review</x:v>
      </x:c>
      <x:c r="Q40" s="26" t="str">
        <x:v>Manual CRM interaction не отправляет внешние сообщения; Gate approval остаётся</x:v>
      </x:c>
    </x:row>
    <x:row r="41">
      <x:c r="A41" s="20" t="str">
        <x:v>S5-0306</x:v>
      </x:c>
      <x:c r="B41" s="21" t="str">
        <x:v>5.3</x:v>
      </x:c>
      <x:c r="C41" s="22" t="str">
        <x:v>Wave C</x:v>
      </x:c>
      <x:c r="D41" s="21" t="str">
        <x:v>5.3</x:v>
      </x:c>
      <x:c r="E41" s="22" t="str">
        <x:v>P2</x:v>
      </x:c>
      <x:c r="F41" s="23" t="str">
        <x:v>Search, Archive и Trash</x:v>
      </x:c>
      <x:c r="G41" s="23" t="str">
        <x:v>Готово</x:v>
      </x:c>
      <x:c r="H41" s="23" t="str">
        <x:v>Design</x:v>
      </x:c>
      <x:c r="I41" s="23" t="str">
        <x:v>S5-0216</x:v>
      </x:c>
      <x:c r="J41" s="24" t="n">
        <x:v>46273.375</x:v>
      </x:c>
      <x:c r="K41" s="24" t="n">
        <x:v>46281.375</x:v>
      </x:c>
      <x:c r="L41" s="25" t="n">
        <x:v>1</x:v>
      </x:c>
      <x:c r="M41" s="23" t="str">
        <x:v>Wave C Search + Archive/Trash validation 0.1.0 packages: full Search, permission-safe partial, cross-object lifecycle, restore conflicts, legal hold, typed purge, offline, build/tests и browser QA verified</x:v>
      </x:c>
      <x:c r="N41" s="23" t="str">
        <x:v>Stage 5 Plan §5.3</x:v>
      </x:c>
      <x:c r="O41" s="24" t="n">
        <x:v>46234.375</x:v>
      </x:c>
      <x:c r="P41" s="23" t="str">
        <x:v>Перейти к Settings/Admin и сохранить lifecycle evidence в traceability</x:v>
      </x:c>
      <x:c r="Q41" s="26" t="str">
        <x:v>Search, Archive и Trash доказаны в prototype scope; formal approval остаётся частью Gate</x:v>
      </x:c>
    </x:row>
    <x:row r="42">
      <x:c r="A42" s="20" t="str">
        <x:v>S5-0307</x:v>
      </x:c>
      <x:c r="B42" s="21" t="str">
        <x:v>5.3</x:v>
      </x:c>
      <x:c r="C42" s="22" t="str">
        <x:v>Wave C</x:v>
      </x:c>
      <x:c r="D42" s="21" t="str">
        <x:v>5.3</x:v>
      </x:c>
      <x:c r="E42" s="22" t="str">
        <x:v>P2</x:v>
      </x:c>
      <x:c r="F42" s="23" t="str">
        <x:v>Settings и Admin surfaces</x:v>
      </x:c>
      <x:c r="G42" s="23" t="str">
        <x:v>Готово</x:v>
      </x:c>
      <x:c r="H42" s="23" t="str">
        <x:v>Design</x:v>
      </x:c>
      <x:c r="I42" s="23" t="str">
        <x:v>S5-0216</x:v>
      </x:c>
      <x:c r="J42" s="24" t="n">
        <x:v>46275.375</x:v>
      </x:c>
      <x:c r="K42" s="24" t="n">
        <x:v>46287.375</x:v>
      </x:c>
      <x:c r="L42" s="25" t="n">
        <x:v>1</x:v>
      </x:c>
      <x:c r="M42" s="23" t="str">
        <x:v>Wave C Settings + Admin validation 0.1.0 packages: scoped preferences/security/cache/connection/sessions and capability-filtered users/departments/roles/sessions/resources, guards/conflicts/offline, build/tests и browser QA verified</x:v>
      </x:c>
      <x:c r="N42" s="23" t="str">
        <x:v>Stage 5 Plan §5.3</x:v>
      </x:c>
      <x:c r="O42" s="24" t="n">
        <x:v>46234.375</x:v>
      </x:c>
      <x:c r="P42" s="23" t="str">
        <x:v>Перейти к Operations и сохранить Settings/Admin evidence в traceability</x:v>
      </x:c>
      <x:c r="Q42" s="26" t="str">
        <x:v>Settings и Admin доказаны в prototype scope; formal approval остаётся частью Gate</x:v>
      </x:c>
    </x:row>
    <x:row r="43">
      <x:c r="A43" s="20" t="str">
        <x:v>S5-0308</x:v>
      </x:c>
      <x:c r="B43" s="21" t="str">
        <x:v>5.3</x:v>
      </x:c>
      <x:c r="C43" s="22" t="str">
        <x:v>Wave C</x:v>
      </x:c>
      <x:c r="D43" s="21" t="str">
        <x:v>5.3</x:v>
      </x:c>
      <x:c r="E43" s="22" t="str">
        <x:v>P2</x:v>
      </x:c>
      <x:c r="F43" s="23" t="str">
        <x:v>Health, jobs, backups и audit surfaces</x:v>
      </x:c>
      <x:c r="G43" s="23" t="str">
        <x:v>Готово</x:v>
      </x:c>
      <x:c r="H43" s="23" t="str">
        <x:v>Design</x:v>
      </x:c>
      <x:c r="I43" s="23" t="str">
        <x:v>S5-0216</x:v>
      </x:c>
      <x:c r="J43" s="24" t="n">
        <x:v>46279.375</x:v>
      </x:c>
      <x:c r="K43" s="24" t="n">
        <x:v>46289.375</x:v>
      </x:c>
      <x:c r="L43" s="25" t="n">
        <x:v>1</x:v>
      </x:c>
      <x:c r="M43" s="23" t="str">
        <x:v>Wave C Operations package 0.2.0: Health/jobs/backups/audit/organization, limited role, offline and recovery states browser-verified; 15/15 tests pass; 7/7 screenshots inspected</x:v>
      </x:c>
      <x:c r="N43" s="23" t="str">
        <x:v>Stage 5 Plan §5.3</x:v>
      </x:c>
      <x:c r="O43" s="24" t="n">
        <x:v>46234.375</x:v>
      </x:c>
      <x:c r="P43" s="23" t="str">
        <x:v>Перейти к Stage 5.4 role/state/accessibility/high-DPI audit</x:v>
      </x:c>
      <x:c r="Q43" s="26" t="str">
        <x:v>Operations design acceptance закрыта в prototype scope; native Windows/runtime evidence остаётся отдельной Gate-проверкой</x:v>
      </x:c>
    </x:row>
    <x:row r="44">
      <x:c r="A44" s="20" t="str">
        <x:v>S5-0309</x:v>
      </x:c>
      <x:c r="B44" s="21" t="str">
        <x:v>5.3</x:v>
      </x:c>
      <x:c r="C44" s="22" t="str">
        <x:v>Traceability</x:v>
      </x:c>
      <x:c r="D44" s="21" t="str">
        <x:v>5.3</x:v>
      </x:c>
      <x:c r="E44" s="22" t="str">
        <x:v>P0</x:v>
      </x:c>
      <x:c r="F44" s="23" t="str">
        <x:v>Подтвердить 100% SCR и 37/37 FLOW coverage</x:v>
      </x:c>
      <x:c r="G44" s="23" t="str">
        <x:v>Готово</x:v>
      </x:c>
      <x:c r="H44" s="23" t="str">
        <x:v>Codex</x:v>
      </x:c>
      <x:c r="I44" s="23" t="str">
        <x:v>S5-0301:S5-0308</x:v>
      </x:c>
      <x:c r="J44" s="24" t="n">
        <x:v>46287.375</x:v>
      </x:c>
      <x:c r="K44" s="24" t="n">
        <x:v>46290.375</x:v>
      </x:c>
      <x:c r="L44" s="25" t="n">
        <x:v>1</x:v>
      </x:c>
      <x:c r="M44" s="23" t="str">
        <x:v>Consolidated traceability package 0.1.2 maps 128/128 SCR and 37/37 FLOW; 82 SCR are VERIFIED_PACKAGE and all accepted evidence hashes pass</x:v>
      </x:c>
      <x:c r="N44" s="23" t="str">
        <x:v>Gate 5.3</x:v>
      </x:c>
      <x:c r="O44" s="24" t="n">
        <x:v>46234.375</x:v>
      </x:c>
      <x:c r="P44" s="23" t="str">
        <x:v>Провести formal evidence approval и Stage 5.4 audit</x:v>
      </x:c>
      <x:c r="Q44" s="26" t="str">
        <x:v>Mapping and package evidence complete; formal stakeholder/native-runtime approval remains separate</x:v>
      </x:c>
    </x:row>
    <x:row r="45">
      <x:c r="A45" s="20" t="str">
        <x:v>S5-0310</x:v>
      </x:c>
      <x:c r="B45" s="21" t="str">
        <x:v>5.3</x:v>
      </x:c>
      <x:c r="C45" s="22" t="str">
        <x:v>Gate</x:v>
      </x:c>
      <x:c r="D45" s="21" t="str">
        <x:v>5.3</x:v>
      </x:c>
      <x:c r="E45" s="22" t="str">
        <x:v>P0</x:v>
      </x:c>
      <x:c r="F45" s="23" t="str">
        <x:v>Закрыть Gate 5.3</x:v>
      </x:c>
      <x:c r="G45" s="23" t="str">
        <x:v>Бэклог</x:v>
      </x:c>
      <x:c r="H45" s="23" t="str">
        <x:v>Product owner</x:v>
      </x:c>
      <x:c r="I45" s="23" t="str">
        <x:v>S5-0309</x:v>
      </x:c>
      <x:c r="J45" s="24" t="n">
        <x:v>46290.375</x:v>
      </x:c>
      <x:c r="K45" s="24" t="n">
        <x:v>46290.375</x:v>
      </x:c>
      <x:c r="L45" s="25" t="n">
        <x:v>0</x:v>
      </x:c>
      <x:c r="M45" s="23" t="str">
        <x:v>Gate 5.3 approval</x:v>
      </x:c>
      <x:c r="N45" s="23" t="str">
        <x:v>Stage 5 Plan</x:v>
      </x:c>
      <x:c r="O45" s="24" t="n">
        <x:v>46231.375</x:v>
      </x:c>
      <x:c r="P45" s="23" t="str"/>
      <x:c r="Q45" s="26" t="str"/>
    </x:row>
    <x:row r="46">
      <x:c r="A46" s="20" t="str">
        <x:v>S5-0401</x:v>
      </x:c>
      <x:c r="B46" s="21" t="str">
        <x:v>5.4</x:v>
      </x:c>
      <x:c r="C46" s="22" t="str">
        <x:v>Roles</x:v>
      </x:c>
      <x:c r="D46" s="21" t="str">
        <x:v>5.4</x:v>
      </x:c>
      <x:c r="E46" s="22" t="str">
        <x:v>P0</x:v>
      </x:c>
      <x:c r="F46" s="23" t="str">
        <x:v>Role/Capability Visual Matrix</x:v>
      </x:c>
      <x:c r="G46" s="23" t="str">
        <x:v>Готово</x:v>
      </x:c>
      <x:c r="H46" s="23" t="str">
        <x:v>Codex + QA</x:v>
      </x:c>
      <x:c r="I46" s="23" t="str">
        <x:v>S5-0216</x:v>
      </x:c>
      <x:c r="J46" s="24" t="n">
        <x:v>46279.375</x:v>
      </x:c>
      <x:c r="K46" s="24" t="n">
        <x:v>46286.375</x:v>
      </x:c>
      <x:c r="L46" s="25" t="n">
        <x:v>1</x:v>
      </x:c>
      <x:c r="M46" s="23" t="str">
        <x:v>Stage 5.4 design audit 0.1.0: 38/38 role/capability contracts mapped to packaged prototype evidence</x:v>
      </x:c>
      <x:c r="N46" s="23" t="str">
        <x:v>Stage 3.5 Role Interface Matrix</x:v>
      </x:c>
      <x:c r="O46" s="24" t="n">
        <x:v>46235.375</x:v>
      </x:c>
      <x:c r="P46" s="23" t="str">
        <x:v>Maintain mapping through final Stage 5.6 freeze</x:v>
      </x:c>
      <x:c r="Q46" s="26" t="str">
        <x:v>Prototype design matrix complete; native UIA/Narrator remains separate Gate evidence</x:v>
      </x:c>
    </x:row>
    <x:row r="47">
      <x:c r="A47" s="20" t="str">
        <x:v>S5-0402</x:v>
      </x:c>
      <x:c r="B47" s="21" t="str">
        <x:v>5.4</x:v>
      </x:c>
      <x:c r="C47" s="22" t="str">
        <x:v>States</x:v>
      </x:c>
      <x:c r="D47" s="21" t="str">
        <x:v>5.4</x:v>
      </x:c>
      <x:c r="E47" s="22" t="str">
        <x:v>P0</x:v>
      </x:c>
      <x:c r="F47" s="23" t="str">
        <x:v>State Coverage Matrix</x:v>
      </x:c>
      <x:c r="G47" s="23" t="str">
        <x:v>Готово</x:v>
      </x:c>
      <x:c r="H47" s="23" t="str">
        <x:v>Codex + QA</x:v>
      </x:c>
      <x:c r="I47" s="23" t="str">
        <x:v>S5-0208</x:v>
      </x:c>
      <x:c r="J47" s="24" t="n">
        <x:v>46279.375</x:v>
      </x:c>
      <x:c r="K47" s="24" t="n">
        <x:v>46286.375</x:v>
      </x:c>
      <x:c r="L47" s="25" t="n">
        <x:v>1</x:v>
      </x:c>
      <x:c r="M47" s="23" t="str">
        <x:v>Stage 5.4 design audit 0.1.0: 56/56 state contracts mapped to packaged prototype evidence</x:v>
      </x:c>
      <x:c r="N47" s="23" t="str">
        <x:v>Stage 3.5 State Matrix</x:v>
      </x:c>
      <x:c r="O47" s="24" t="n">
        <x:v>46235.375</x:v>
      </x:c>
      <x:c r="P47" s="23" t="str">
        <x:v>Maintain mapping through final Stage 5.6 freeze</x:v>
      </x:c>
      <x:c r="Q47" s="26" t="str">
        <x:v>State/component design matrix complete; native runtime evidence remains separate</x:v>
      </x:c>
    </x:row>
    <x:row r="48">
      <x:c r="A48" s="20" t="str">
        <x:v>S5-0403</x:v>
      </x:c>
      <x:c r="B48" s="21" t="str">
        <x:v>5.4</x:v>
      </x:c>
      <x:c r="C48" s="22" t="str">
        <x:v>Accessibility</x:v>
      </x:c>
      <x:c r="D48" s="21" t="str">
        <x:v>5.4</x:v>
      </x:c>
      <x:c r="E48" s="22" t="str">
        <x:v>P0</x:v>
      </x:c>
      <x:c r="F48" s="23" t="str">
        <x:v>Полный keyboard/screen-reader/non-color review</x:v>
      </x:c>
      <x:c r="G48" s="23" t="str">
        <x:v>В работе</x:v>
      </x:c>
      <x:c r="H48" s="23" t="str">
        <x:v>QA</x:v>
      </x:c>
      <x:c r="I48" s="23" t="str">
        <x:v>S5-0310</x:v>
      </x:c>
      <x:c r="J48" s="24" t="n">
        <x:v>46286.375</x:v>
      </x:c>
      <x:c r="K48" s="24" t="n">
        <x:v>46293.375</x:v>
      </x:c>
      <x:c r="L48" s="25" t="n">
        <x:v>0.85</x:v>
      </x:c>
      <x:c r="M48" s="23" t="str">
        <x:v>Semantic source audit, visible focus, reduced motion, non-colour states and Windows forced-colors support verified</x:v>
      </x:c>
      <x:c r="N48" s="23" t="str">
        <x:v>NFR-002/003/005</x:v>
      </x:c>
      <x:c r="O48" s="24" t="n">
        <x:v>46235.375</x:v>
      </x:c>
      <x:c r="P48" s="23" t="str">
        <x:v>Run Narrator and Inspect/UIA against compiled Windows client</x:v>
      </x:c>
      <x:c r="Q48" s="26" t="str">
        <x:v>Prototype/static accessibility scope passes; native assistive-technology timing is pending</x:v>
      </x:c>
    </x:row>
    <x:row r="49">
      <x:c r="A49" s="20" t="str">
        <x:v>S5-0404</x:v>
      </x:c>
      <x:c r="B49" s="21" t="str">
        <x:v>5.4</x:v>
      </x:c>
      <x:c r="C49" s="22" t="str">
        <x:v>High DPI</x:v>
      </x:c>
      <x:c r="D49" s="21" t="str">
        <x:v>5.4</x:v>
      </x:c>
      <x:c r="E49" s="22" t="str">
        <x:v>P0</x:v>
      </x:c>
      <x:c r="F49" s="23" t="str">
        <x:v>Проверка Windows scaling 100–200% и длинных RU строк</x:v>
      </x:c>
      <x:c r="G49" s="23" t="str">
        <x:v>В работе</x:v>
      </x:c>
      <x:c r="H49" s="23" t="str">
        <x:v>QA + Tech lead</x:v>
      </x:c>
      <x:c r="I49" s="23" t="str">
        <x:v>S5-0310</x:v>
      </x:c>
      <x:c r="J49" s="24" t="n">
        <x:v>46286.375</x:v>
      </x:c>
      <x:c r="K49" s="24" t="n">
        <x:v>46293.375</x:v>
      </x:c>
      <x:c r="L49" s="25" t="n">
        <x:v>0.7</x:v>
      </x:c>
      <x:c r="M49" s="23" t="str">
        <x:v>Seven responsive breakpoints, long Russian fixtures and static scaling evidence packaged</x:v>
      </x:c>
      <x:c r="N49" s="23" t="str">
        <x:v>NFR-004</x:v>
      </x:c>
      <x:c r="O49" s="24" t="n">
        <x:v>46235.375</x:v>
      </x:c>
      <x:c r="P49" s="23" t="str">
        <x:v>Run controlled Windows 100/125/150/175/200% multi-monitor checks</x:v>
      </x:c>
      <x:c r="Q49" s="26" t="str">
        <x:v>Responsive design evidence exists; actual OS DPI behavior is not claimed</x:v>
      </x:c>
    </x:row>
    <x:row r="50">
      <x:c r="A50" s="20" t="str">
        <x:v>S5-0405</x:v>
      </x:c>
      <x:c r="B50" s="21" t="str">
        <x:v>5.4</x:v>
      </x:c>
      <x:c r="C50" s="22" t="str">
        <x:v>Remediation</x:v>
      </x:c>
      <x:c r="D50" s="21" t="str">
        <x:v>5.4</x:v>
      </x:c>
      <x:c r="E50" s="22" t="str">
        <x:v>P0</x:v>
      </x:c>
      <x:c r="F50" s="23" t="str">
        <x:v>Исправить findings и повторить проверки</x:v>
      </x:c>
      <x:c r="G50" s="23" t="str">
        <x:v>Готово</x:v>
      </x:c>
      <x:c r="H50" s="23" t="str">
        <x:v>Design</x:v>
      </x:c>
      <x:c r="I50" s="23" t="str">
        <x:v>S5-0401:S5-0404</x:v>
      </x:c>
      <x:c r="J50" s="24" t="n">
        <x:v>46293.375</x:v>
      </x:c>
      <x:c r="K50" s="24" t="n">
        <x:v>46297.375</x:v>
      </x:c>
      <x:c r="L50" s="25" t="n">
        <x:v>1</x:v>
      </x:c>
      <x:c r="M50" s="23" t="str">
        <x:v>Stage 5.4 remediation/retest: Operations scroll and disabled-danger contrast fixes retained; forced-colors support added; build and 15/15 tests pass</x:v>
      </x:c>
      <x:c r="N50" s="23" t="str">
        <x:v>Gate 5.4</x:v>
      </x:c>
      <x:c r="O50" s="24" t="n">
        <x:v>46235.375</x:v>
      </x:c>
      <x:c r="P50" s="23" t="str">
        <x:v>Proceed to Stage 5.5 usability walkthrough</x:v>
      </x:c>
      <x:c r="Q50" s="26" t="str">
        <x:v>Prototype audit Critical/High = 0</x:v>
      </x:c>
    </x:row>
    <x:row r="51">
      <x:c r="A51" s="20" t="str">
        <x:v>S5-0406</x:v>
      </x:c>
      <x:c r="B51" s="21" t="str">
        <x:v>5.4</x:v>
      </x:c>
      <x:c r="C51" s="22" t="str">
        <x:v>Gate</x:v>
      </x:c>
      <x:c r="D51" s="21" t="str">
        <x:v>5.4</x:v>
      </x:c>
      <x:c r="E51" s="22" t="str">
        <x:v>P0</x:v>
      </x:c>
      <x:c r="F51" s="23" t="str">
        <x:v>Закрыть Gate 5.4</x:v>
      </x:c>
      <x:c r="G51" s="23" t="str">
        <x:v>Бэклог</x:v>
      </x:c>
      <x:c r="H51" s="23" t="str">
        <x:v>Product owner + QA</x:v>
      </x:c>
      <x:c r="I51" s="23" t="str">
        <x:v>S5-0405</x:v>
      </x:c>
      <x:c r="J51" s="24" t="n">
        <x:v>46297.375</x:v>
      </x:c>
      <x:c r="K51" s="24" t="n">
        <x:v>46297.375</x:v>
      </x:c>
      <x:c r="L51" s="25" t="n">
        <x:v>0</x:v>
      </x:c>
      <x:c r="M51" s="23" t="str">
        <x:v>Gate checklist and evidence package ready</x:v>
      </x:c>
      <x:c r="N51" s="23" t="str">
        <x:v>Stage 5 Plan</x:v>
      </x:c>
      <x:c r="O51" s="24" t="n">
        <x:v>46235.375</x:v>
      </x:c>
      <x:c r="P51" s="23" t="str">
        <x:v>Obtain Product owner, QA and Windows/desktop technical approval</x:v>
      </x:c>
      <x:c r="Q51" s="26" t="str">
        <x:v>External Gate decision remains open and is not counted as delivery work</x:v>
      </x:c>
    </x:row>
    <x:row r="52">
      <x:c r="A52" s="20" t="str">
        <x:v>S5-0501</x:v>
      </x:c>
      <x:c r="B52" s="21" t="str">
        <x:v>5.5</x:v>
      </x:c>
      <x:c r="C52" s="22" t="str">
        <x:v>Research</x:v>
      </x:c>
      <x:c r="D52" s="21" t="str">
        <x:v>5.5</x:v>
      </x:c>
      <x:c r="E52" s="22" t="str">
        <x:v>P0</x:v>
      </x:c>
      <x:c r="F52" s="23" t="str">
        <x:v>Подготовить usability script и realistic fixtures</x:v>
      </x:c>
      <x:c r="G52" s="23" t="str">
        <x:v>Готово</x:v>
      </x:c>
      <x:c r="H52" s="23" t="str">
        <x:v>UX + QA</x:v>
      </x:c>
      <x:c r="I52" s="23" t="str">
        <x:v>S5-0310</x:v>
      </x:c>
      <x:c r="J52" s="24" t="n">
        <x:v>46293.375</x:v>
      </x:c>
      <x:c r="K52" s="24" t="n">
        <x:v>46297.375</x:v>
      </x:c>
      <x:c r="L52" s="25" t="n">
        <x:v>1</x:v>
      </x:c>
      <x:c r="M52" s="23" t="str">
        <x:v>Stage 5.5 usability increment 0.1.0: canonical 10-scenario script, fixtures and current-run evidence package</x:v>
      </x:c>
      <x:c r="N52" s="23" t="str">
        <x:v>Stage 5 Plan §5.5</x:v>
      </x:c>
      <x:c r="O52" s="24" t="n">
        <x:v>46236.375</x:v>
      </x:c>
      <x:c r="P52" s="23" t="str">
        <x:v>Maintain the script through the Stage 5.6 freeze</x:v>
      </x:c>
      <x:c r="Q52" s="26" t="str">
        <x:v>10/10 scenarios and all four roles are covered by the accepted test contract</x:v>
      </x:c>
    </x:row>
    <x:row r="53">
      <x:c r="A53" s="20" t="str">
        <x:v>S5-0502</x:v>
      </x:c>
      <x:c r="B53" s="21" t="str">
        <x:v>5.5</x:v>
      </x:c>
      <x:c r="C53" s="22" t="str">
        <x:v>Research</x:v>
      </x:c>
      <x:c r="D53" s="21" t="str">
        <x:v>5.5</x:v>
      </x:c>
      <x:c r="E53" s="22" t="str">
        <x:v>P0</x:v>
      </x:c>
      <x:c r="F53" s="23" t="str">
        <x:v>Провести sessions по ролям и admin review</x:v>
      </x:c>
      <x:c r="G53" s="23" t="str">
        <x:v>В работе</x:v>
      </x:c>
      <x:c r="H53" s="23" t="str">
        <x:v>UX</x:v>
      </x:c>
      <x:c r="I53" s="23" t="str">
        <x:v>S5-0501,S5-0406</x:v>
      </x:c>
      <x:c r="J53" s="24" t="n">
        <x:v>46300.375</x:v>
      </x:c>
      <x:c r="K53" s="24" t="n">
        <x:v>46304.375</x:v>
      </x:c>
      <x:c r="L53" s="25" t="n">
        <x:v>0.75</x:v>
      </x:c>
      <x:c r="M53" s="23" t="str">
        <x:v>10/10 expert-proxy scenarios executed in the in-app browser; 13/13 screenshots visually inspected</x:v>
      </x:c>
      <x:c r="N53" s="23" t="str">
        <x:v>Stage 5 Plan §5.5</x:v>
      </x:c>
      <x:c r="O53" s="24" t="n">
        <x:v>46236.375</x:v>
      </x:c>
      <x:c r="P53" s="23" t="str">
        <x:v>Conduct moderated employee/admin participant sessions</x:v>
      </x:c>
      <x:c r="Q53" s="26" t="str">
        <x:v>Expert proxy is complete; participant metrics and quotes are not claimed</x:v>
      </x:c>
    </x:row>
    <x:row r="54">
      <x:c r="A54" s="20" t="str">
        <x:v>S5-0503</x:v>
      </x:c>
      <x:c r="B54" s="21" t="str">
        <x:v>5.5</x:v>
      </x:c>
      <x:c r="C54" s="22" t="str">
        <x:v>Remediation</x:v>
      </x:c>
      <x:c r="D54" s="21" t="str">
        <x:v>5.5</x:v>
      </x:c>
      <x:c r="E54" s="22" t="str">
        <x:v>P0</x:v>
      </x:c>
      <x:c r="F54" s="23" t="str">
        <x:v>Исправить Critical/High usability findings</x:v>
      </x:c>
      <x:c r="G54" s="23" t="str">
        <x:v>Готово</x:v>
      </x:c>
      <x:c r="H54" s="23" t="str">
        <x:v>Design</x:v>
      </x:c>
      <x:c r="I54" s="23" t="str">
        <x:v>S5-0502</x:v>
      </x:c>
      <x:c r="J54" s="24" t="n">
        <x:v>46304.375</x:v>
      </x:c>
      <x:c r="K54" s="24" t="n">
        <x:v>46309.375</x:v>
      </x:c>
      <x:c r="L54" s="25" t="n">
        <x:v>1</x:v>
      </x:c>
      <x:c r="M54" s="23" t="str">
        <x:v>UX-055-001 High conflict-draft defect and UX-055-002 Medium conversion-callout defect fixed and retested; build and 15/15 tests pass</x:v>
      </x:c>
      <x:c r="N54" s="23" t="str">
        <x:v>Usability findings</x:v>
      </x:c>
      <x:c r="O54" s="24" t="n">
        <x:v>46236.375</x:v>
      </x:c>
      <x:c r="P54" s="23" t="str">
        <x:v>Carry both regression checks into final Stage 5.6 validation</x:v>
      </x:c>
      <x:c r="Q54" s="26" t="str">
        <x:v>Final open Critical/High/Medium findings in inspected prototype scope = 0</x:v>
      </x:c>
    </x:row>
    <x:row r="55">
      <x:c r="A55" s="20" t="str">
        <x:v>S5-0504</x:v>
      </x:c>
      <x:c r="B55" s="21" t="str">
        <x:v>5.5</x:v>
      </x:c>
      <x:c r="C55" s="22" t="str">
        <x:v>Gate</x:v>
      </x:c>
      <x:c r="D55" s="21" t="str">
        <x:v>5.5</x:v>
      </x:c>
      <x:c r="E55" s="22" t="str">
        <x:v>P0</x:v>
      </x:c>
      <x:c r="F55" s="23" t="str">
        <x:v>Закрыть Gate 5.5</x:v>
      </x:c>
      <x:c r="G55" s="23" t="str">
        <x:v>Бэклог</x:v>
      </x:c>
      <x:c r="H55" s="23" t="str">
        <x:v>Product owner</x:v>
      </x:c>
      <x:c r="I55" s="23" t="str">
        <x:v>S5-0503</x:v>
      </x:c>
      <x:c r="J55" s="24" t="n">
        <x:v>46309.375</x:v>
      </x:c>
      <x:c r="K55" s="24" t="n">
        <x:v>46309.375</x:v>
      </x:c>
      <x:c r="L55" s="25" t="n">
        <x:v>0</x:v>
      </x:c>
      <x:c r="M55" s="23" t="str">
        <x:v>Stage 5.5 package, validation report and Gate boundary ready</x:v>
      </x:c>
      <x:c r="N55" s="23" t="str">
        <x:v>Stage 5 Plan</x:v>
      </x:c>
      <x:c r="O55" s="24" t="n">
        <x:v>46236.375</x:v>
      </x:c>
      <x:c r="P55" s="23" t="str">
        <x:v>Obtain Product owner acceptance after external moderated sessions</x:v>
      </x:c>
      <x:c r="Q55" s="26" t="str">
        <x:v>External Gate decision remains open and is not counted as completed delivery evidence</x:v>
      </x:c>
    </x:row>
    <x:row r="56">
      <x:c r="A56" s="20" t="str">
        <x:v>S5-0601</x:v>
      </x:c>
      <x:c r="B56" s="21" t="str">
        <x:v>5.6</x:v>
      </x:c>
      <x:c r="C56" s="22" t="str">
        <x:v>Baseline</x:v>
      </x:c>
      <x:c r="D56" s="21" t="str">
        <x:v>5.6</x:v>
      </x:c>
      <x:c r="E56" s="22" t="str">
        <x:v>P0</x:v>
      </x:c>
      <x:c r="F56" s="23" t="str">
        <x:v>Заморозить Figma baseline и Component Library 1.0</x:v>
      </x:c>
      <x:c r="G56" s="23" t="str">
        <x:v>Готово</x:v>
      </x:c>
      <x:c r="H56" s="23" t="str">
        <x:v>Design owner</x:v>
      </x:c>
      <x:c r="I56" s="23" t="str">
        <x:v>S5-0406,S5-0504</x:v>
      </x:c>
      <x:c r="J56" s="24" t="n">
        <x:v>46310.375</x:v>
      </x:c>
      <x:c r="K56" s="24" t="n">
        <x:v>46311.375</x:v>
      </x:c>
      <x:c r="L56" s="25" t="n">
        <x:v>1</x:v>
      </x:c>
      <x:c r="M56" s="23" t="str">
        <x:v>Stage 5 Final Visual Baseline 1.0 + Design System 1.0 + Interactive Prototype 1.0, code-based and editable</x:v>
      </x:c>
      <x:c r="N56" s="23" t="str">
        <x:v>Stage 5 Plan §5.6</x:v>
      </x:c>
      <x:c r="O56" s="24" t="n">
        <x:v>46236.375</x:v>
      </x:c>
      <x:c r="P56" s="23" t="str">
        <x:v>Preserve the frozen source and require a new version for design changes</x:v>
      </x:c>
      <x:c r="Q56" s="26" t="str">
        <x:v>No external Figma file is claimed; accepted Direction 2 is frozen in source and dist</x:v>
      </x:c>
    </x:row>
    <x:row r="57">
      <x:c r="A57" s="20" t="str">
        <x:v>S5-0602</x:v>
      </x:c>
      <x:c r="B57" s="21" t="str">
        <x:v>5.6</x:v>
      </x:c>
      <x:c r="C57" s="22" t="str">
        <x:v>Validation</x:v>
      </x:c>
      <x:c r="D57" s="21" t="str">
        <x:v>5.6</x:v>
      </x:c>
      <x:c r="E57" s="22" t="str">
        <x:v>P0</x:v>
      </x:c>
      <x:c r="F57" s="23" t="str">
        <x:v>Финальная SCR/FLOW/STATE/role traceability validation</x:v>
      </x:c>
      <x:c r="G57" s="23" t="str">
        <x:v>Готово</x:v>
      </x:c>
      <x:c r="H57" s="23" t="str">
        <x:v>Codex + QA</x:v>
      </x:c>
      <x:c r="I57" s="23" t="str">
        <x:v>S5-0601</x:v>
      </x:c>
      <x:c r="J57" s="24" t="n">
        <x:v>46311.375</x:v>
      </x:c>
      <x:c r="K57" s="24" t="n">
        <x:v>46314.375</x:v>
      </x:c>
      <x:c r="L57" s="25" t="n">
        <x:v>1</x:v>
      </x:c>
      <x:c r="M57" s="23" t="str">
        <x:v>Final audit: 128/128 SCR, 37/37 FLOW, 38/38 roles, 56/56 states, 45/45 components and 10/10 expert scenarios validated</x:v>
      </x:c>
      <x:c r="N57" s="23" t="str">
        <x:v>Stage 5 DoD</x:v>
      </x:c>
      <x:c r="O57" s="24" t="n">
        <x:v>46236.375</x:v>
      </x:c>
      <x:c r="P57" s="23" t="str">
        <x:v>Collect external native Windows and participant evidence without changing delivery counts</x:v>
      </x:c>
      <x:c r="Q57" s="26" t="str">
        <x:v>Five prerequisite package manifests hash-verified; open design Critical/High/Medium = 0</x:v>
      </x:c>
    </x:row>
    <x:row r="58">
      <x:c r="A58" s="20" t="str">
        <x:v>S5-0603</x:v>
      </x:c>
      <x:c r="B58" s="21" t="str">
        <x:v>5.6</x:v>
      </x:c>
      <x:c r="C58" s="22" t="str">
        <x:v>Handoff</x:v>
      </x:c>
      <x:c r="D58" s="21" t="str">
        <x:v>5.6</x:v>
      </x:c>
      <x:c r="E58" s="22" t="str">
        <x:v>P0</x:v>
      </x:c>
      <x:c r="F58" s="23" t="str">
        <x:v>Подготовить specs, assets, decisions и Development Handoff</x:v>
      </x:c>
      <x:c r="G58" s="23" t="str">
        <x:v>Готово</x:v>
      </x:c>
      <x:c r="H58" s="23" t="str">
        <x:v>Design + Tech lead</x:v>
      </x:c>
      <x:c r="I58" s="23" t="str">
        <x:v>S5-0601</x:v>
      </x:c>
      <x:c r="J58" s="24" t="n">
        <x:v>46311.375</x:v>
      </x:c>
      <x:c r="K58" s="24" t="n">
        <x:v>46315.375</x:v>
      </x:c>
      <x:c r="L58" s="25" t="n">
        <x:v>1</x:v>
      </x:c>
      <x:c r="M58" s="23" t="str">
        <x:v>Development Handoff 1.0 with specs, assets/licenses, decisions, findings, implementation order and contract rules</x:v>
      </x:c>
      <x:c r="N58" s="23" t="str">
        <x:v>Stage 5 Plan §5.6</x:v>
      </x:c>
      <x:c r="O58" s="24" t="n">
        <x:v>46236.375</x:v>
      </x:c>
      <x:c r="P58" s="23" t="str">
        <x:v>Run joint Product/Design/Desktop/QA review</x:v>
      </x:c>
      <x:c r="Q58" s="26" t="str">
        <x:v>Handoff package is reproducible and does not ask developers to invent business logic</x:v>
      </x:c>
    </x:row>
    <x:row r="59">
      <x:c r="A59" s="20" t="str">
        <x:v>S5-0604</x:v>
      </x:c>
      <x:c r="B59" s="21" t="str">
        <x:v>5.6</x:v>
      </x:c>
      <x:c r="C59" s="22" t="str">
        <x:v>Packaging</x:v>
      </x:c>
      <x:c r="D59" s="21" t="str">
        <x:v>5.6</x:v>
      </x:c>
      <x:c r="E59" s="22" t="str">
        <x:v>P0</x:v>
      </x:c>
      <x:c r="F59" s="23" t="str">
        <x:v>Собрать manifest, version, SHA-256 и validation report</x:v>
      </x:c>
      <x:c r="G59" s="23" t="str">
        <x:v>Готово</x:v>
      </x:c>
      <x:c r="H59" s="23" t="str">
        <x:v>Codex</x:v>
      </x:c>
      <x:c r="I59" s="23" t="str">
        <x:v>S5-0602,S5-0603</x:v>
      </x:c>
      <x:c r="J59" s="24" t="n">
        <x:v>46315.375</x:v>
      </x:c>
      <x:c r="K59" s="24" t="n">
        <x:v>46316.375</x:v>
      </x:c>
      <x:c r="L59" s="25" t="n">
        <x:v>1</x:v>
      </x:c>
      <x:c r="M59" s="23" t="str">
        <x:v>Final Stage 5.6 package 1.0.1: 83 work files / 83 output files, mirror mismatches 0; Gate execution kit included; build and 15/15 tests pass</x:v>
      </x:c>
      <x:c r="N59" s="23" t="str">
        <x:v>AGENTS.md</x:v>
      </x:c>
      <x:c r="O59" s="24" t="n">
        <x:v>46236.375</x:v>
      </x:c>
      <x:c r="P59" s="23" t="str">
        <x:v>Create a new package version only after accepted external Gate evidence is added</x:v>
      </x:c>
      <x:c r="Q59" s="26" t="str">
        <x:v>Manifest, VERSION, SHA-256 and factual validation report are complete</x:v>
      </x:c>
    </x:row>
    <x:row r="60">
      <x:c r="A60" s="27" t="str">
        <x:v>S5-0605</x:v>
      </x:c>
      <x:c r="B60" s="28" t="str">
        <x:v>5.6</x:v>
      </x:c>
      <x:c r="C60" s="29" t="str">
        <x:v>Gate</x:v>
      </x:c>
      <x:c r="D60" s="28" t="str">
        <x:v>5.6</x:v>
      </x:c>
      <x:c r="E60" s="29" t="str">
        <x:v>P0</x:v>
      </x:c>
      <x:c r="F60" s="30" t="str">
        <x:v>Подписать Gate 5.6 и допуск к разработке</x:v>
      </x:c>
      <x:c r="G60" s="30" t="str">
        <x:v>Бэклог</x:v>
      </x:c>
      <x:c r="H60" s="30" t="str">
        <x:v>Product owner + Design + Tech lead + QA</x:v>
      </x:c>
      <x:c r="I60" s="30" t="str">
        <x:v>S5-0604</x:v>
      </x:c>
      <x:c r="J60" s="31" t="n">
        <x:v>46316.375</x:v>
      </x:c>
      <x:c r="K60" s="31" t="n">
        <x:v>46316.375</x:v>
      </x:c>
      <x:c r="L60" s="32" t="n">
        <x:v>0</x:v>
      </x:c>
      <x:c r="M60" s="30" t="str">
        <x:v>Gate kit 0.1.0 + completion audit 0.1.0: validator NOT_READY 0/9; audit ACTIVE_NOT_COMPLETE (6 achieved, 2 partial external, 1 not achieved)</x:v>
      </x:c>
      <x:c r="N60" s="30" t="str">
        <x:v>Stage 5 DoD</x:v>
      </x:c>
      <x:c r="O60" s="31" t="n">
        <x:v>46236.375</x:v>
      </x:c>
      <x:c r="P60" s="30" t="str">
        <x:v>Execute the kit; add 9/9 hash-addressed native Windows, moderated-session and named approval evidence</x:v>
      </x:c>
      <x:c r="Q60" s="33" t="str">
        <x:v>Templates are not evidence; Gate and Goal remain active until a repeated completion audit proves READY</x:v>
      </x:c>
    </x:row>
  </x:sheetData>
  <x:mergeCells>
    <x:mergeCell ref="A1:Q1"/>
    <x:mergeCell ref="A2:Q2"/>
  </x:mergeCells>
  <x:conditionalFormatting sqref="G5:G60">
    <x:cfRule type="containsText" dxfId="0" priority="1" operator="containsText" text="Готово"/>
    <x:cfRule type="containsText" dxfId="1" priority="2" operator="containsText" text="В работе"/>
    <x:cfRule type="containsText" dxfId="2" priority="3" operator="containsText" text="Блокировано"/>
    <x:cfRule type="containsText" dxfId="3" priority="4" operator="containsText" text="Ожидает решения"/>
  </x:conditionalFormatting>
  <x:conditionalFormatting sqref="L5:L60">
    <x:cfRule type="dataBar" priority="5">
      <x:dataBar>
        <x:cfvo type="min"/>
        <x:cfvo type="max"/>
        <x:color rgb="FF246BFD"/>
      </x:dataBar>
      <x:extLst>
        <x:ext xmlns:x14="http://schemas.microsoft.com/office/spreadsheetml/2009/9/main" uri="{B025F937-C7B1-47D3-B67F-A62EFF666E3E}">
          <x14:id>{DF1BCABB-AF87-974B-40DB-034F8B5E1B34}</x14:id>
        </x:ext>
      </x:extLst>
    </x:cfRule>
  </x:conditionalFormatting>
  <x:dataValidations count="3">
    <x:dataValidation type="list" sqref="G5:G60">
      <x:formula1>"Бэклог,Готово к работе,В работе,На проверке,Ожидает решения,Блокировано,Готово"</x:formula1>
    </x:dataValidation>
    <x:dataValidation type="list" sqref="E5:E60">
      <x:formula1>"P0,P1,P2,P3"</x:formula1>
    </x:dataValidation>
    <x:dataValidation type="decimal" operator="between" sqref="L5:L6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1ea301cc8724ed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F1BCABB-AF87-974B-40DB-034F8B5E1B34}">
            <x14:dataBar gradient="1">
              <x14:cfvo type="min"/>
              <x14:cfvo type="max"/>
              <x14:fillColor rgb="FF246BFD"/>
            </x14:dataBar>
          </x14:cfRule>
          <xm:sqref>L5:L60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34" hidden="0" customWidth="1"/>
    <x:col min="5" max="5" width="22" hidden="0" customWidth="1"/>
    <x:col min="6" max="6" width="14" hidden="0" customWidth="1"/>
    <x:col min="7" max="7" width="12" hidden="0" customWidth="1"/>
    <x:col min="8" max="8" width="28" hidden="0" customWidth="1"/>
    <x:col min="9" max="9" width="14" hidden="0" customWidth="1"/>
  </x:cols>
  <x:sheetData>
    <x:row r="1">
      <x:c r="A1" s="3" t="str">
        <x:v>Stage 5 — Decisions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4">
      <x:c r="A4" s="10" t="str">
        <x:v>ID</x:v>
      </x:c>
      <x:c r="B4" s="10" t="str">
        <x:v>Stage</x:v>
      </x:c>
      <x:c r="C4" s="10" t="str">
        <x:v>Decision</x:v>
      </x:c>
      <x:c r="D4" s="10" t="str">
        <x:v>Required action</x:v>
      </x:c>
      <x:c r="E4" s="10" t="str">
        <x:v>Owner</x:v>
      </x:c>
      <x:c r="F4" s="10" t="str">
        <x:v>Status</x:v>
      </x:c>
      <x:c r="G4" s="10" t="str">
        <x:v>Due</x:v>
      </x:c>
      <x:c r="H4" s="10" t="str">
        <x:v>Impact</x:v>
      </x:c>
      <x:c r="I4" s="10" t="str">
        <x:v>Related task</x:v>
      </x:c>
    </x:row>
    <x:row r="5">
      <x:c r="A5" s="14" t="str">
        <x:v>VIS-001</x:v>
      </x:c>
      <x:c r="B5" s="72" t="str">
        <x:v>5.1</x:v>
      </x:c>
      <x:c r="C5" s="14" t="str">
        <x:v>Выбор визуального направления</x:v>
      </x:c>
      <x:c r="D5" s="14" t="str">
        <x:v>Direction 2 — Timeline planner</x:v>
      </x:c>
      <x:c r="E5" s="14" t="str">
        <x:v>Product owner</x:v>
      </x:c>
      <x:c r="F5" s="14" t="str">
        <x:v>Принято</x:v>
      </x:c>
      <x:c r="G5" s="15" t="n">
        <x:v>46231.375</x:v>
      </x:c>
      <x:c r="H5" s="14" t="str">
        <x:v>Visual foundation и vertical slice строятся по Direction 2; повышенная cross-surface complexity принята</x:v>
      </x:c>
      <x:c r="I5" s="14" t="str">
        <x:v>S5-0104</x:v>
      </x:c>
    </x:row>
    <x:row r="6">
      <x:c r="A6" s="14" t="str">
        <x:v>OQ-004</x:v>
      </x:c>
      <x:c r="B6" s="72" t="str">
        <x:v>5.0</x:v>
      </x:c>
      <x:c r="C6" s="14" t="str">
        <x:v>Аватар в MVP</x:v>
      </x:c>
      <x:c r="D6" s="14" t="str">
        <x:v>Подтвердить исключение или инициировать contract change</x:v>
      </x:c>
      <x:c r="E6" s="14" t="str">
        <x:v>Product owner</x:v>
      </x:c>
      <x:c r="F6" s="14" t="str">
        <x:v>Открыто</x:v>
      </x:c>
      <x:c r="G6" s="15" t="n">
        <x:v>46237.375</x:v>
      </x:c>
      <x:c r="H6" s="14" t="str">
        <x:v>Влияет на Profile и employee search</x:v>
      </x:c>
      <x:c r="I6" s="14" t="str">
        <x:v>S5-0006</x:v>
      </x:c>
    </x:row>
    <x:row r="7">
      <x:c r="A7" s="14" t="str">
        <x:v>OQ-005</x:v>
      </x:c>
      <x:c r="B7" s="72" t="str">
        <x:v>5.0</x:v>
      </x:c>
      <x:c r="C7" s="14" t="str">
        <x:v>Fallback для Windows toast</x:v>
      </x:c>
      <x:c r="D7" s="14" t="str">
        <x:v>Подтвердить Notification Center + diagnostics</x:v>
      </x:c>
      <x:c r="E7" s="14" t="str">
        <x:v>Product owner + QA</x:v>
      </x:c>
      <x:c r="F7" s="14" t="str">
        <x:v>Открыто</x:v>
      </x:c>
      <x:c r="G7" s="15" t="n">
        <x:v>46237.375</x:v>
      </x:c>
      <x:c r="H7" s="14" t="str">
        <x:v>Влияет на notification surfaces</x:v>
      </x:c>
      <x:c r="I7" s="14" t="str">
        <x:v>S5-0006</x:v>
      </x:c>
    </x:row>
    <x:row r="8">
      <x:c r="A8" s="14" t="str">
        <x:v>OQ-006</x:v>
      </x:c>
      <x:c r="B8" s="72" t="str">
        <x:v>5.0</x:v>
      </x:c>
      <x:c r="C8" s="14" t="str">
        <x:v>SMB diagnostics</x:v>
      </x:c>
      <x:c r="D8" s="14" t="str">
        <x:v>Подтвердить разделение metadata permission и OS/SMB access</x:v>
      </x:c>
      <x:c r="E8" s="14" t="str">
        <x:v>IT owner + QA</x:v>
      </x:c>
      <x:c r="F8" s="14" t="str">
        <x:v>Открыто</x:v>
      </x:c>
      <x:c r="G8" s="15" t="n">
        <x:v>46237.375</x:v>
      </x:c>
      <x:c r="H8" s="14" t="str">
        <x:v>Влияет на Files states</x:v>
      </x:c>
      <x:c r="I8" s="14" t="str">
        <x:v>S5-0006</x:v>
      </x:c>
    </x:row>
    <x:row r="9">
      <x:c r="A9" s="14" t="str">
        <x:v>OQ-009</x:v>
      </x:c>
      <x:c r="B9" s="72" t="str">
        <x:v>5.0</x:v>
      </x:c>
      <x:c r="C9" s="14" t="str">
        <x:v>Locales первой поставки</x:v>
      </x:c>
      <x:c r="D9" s="14" t="str">
        <x:v>Подтвердить RU-only или multi-locale scope</x:v>
      </x:c>
      <x:c r="E9" s="14" t="str">
        <x:v>Product owner</x:v>
      </x:c>
      <x:c r="F9" s="14" t="str">
        <x:v>Открыто</x:v>
      </x:c>
      <x:c r="G9" s="15" t="n">
        <x:v>46237.375</x:v>
      </x:c>
      <x:c r="H9" s="14" t="str">
        <x:v>Влияет на text expansion</x:v>
      </x:c>
      <x:c r="I9" s="14" t="str">
        <x:v>S5-0006</x:v>
      </x:c>
    </x:row>
  </x:sheetData>
  <x:mergeCells>
    <x:mergeCell ref="A1:I2"/>
  </x:mergeCells>
  <x:dataValidations count="1">
    <x:dataValidation type="list" sqref="F5:F9">
      <x:formula1>"Открыто,Принято,Отложено,Не применимо"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1a0f22d94d42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32" hidden="0" customWidth="1"/>
    <x:col min="4" max="4" width="28" hidden="0" customWidth="1"/>
    <x:col min="5" max="5" width="34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" t="str">
        <x:v>Stage 5 — Risks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0" t="str">
        <x:v>ID</x:v>
      </x:c>
      <x:c r="B4" s="10" t="str">
        <x:v>Severity</x:v>
      </x:c>
      <x:c r="C4" s="10" t="str">
        <x:v>Risk</x:v>
      </x:c>
      <x:c r="D4" s="10" t="str">
        <x:v>Consequence</x:v>
      </x:c>
      <x:c r="E4" s="10" t="str">
        <x:v>Mitigation</x:v>
      </x:c>
      <x:c r="F4" s="10" t="str">
        <x:v>Owner</x:v>
      </x:c>
      <x:c r="G4" s="10" t="str">
        <x:v>Status</x:v>
      </x:c>
      <x:c r="H4" s="10" t="str">
        <x:v>Related task</x:v>
      </x:c>
    </x:row>
    <x:row r="5">
      <x:c r="A5" s="14" t="str">
        <x:v>R-001</x:v>
      </x:c>
      <x:c r="B5" s="14" t="str">
        <x:v>Высокий</x:v>
      </x:c>
      <x:c r="C5" s="14" t="str">
        <x:v>До выбора visual direction начата детальная библиотека</x:v>
      </x:c>
      <x:c r="D5" s="14" t="str">
        <x:v>Переделка компонентов</x:v>
      </x:c>
      <x:c r="E5" s="14" t="str">
        <x:v>VIS-001 закрыт; styling ведётся только по Direction 2</x:v>
      </x:c>
      <x:c r="F5" s="14" t="str">
        <x:v>Codex</x:v>
      </x:c>
      <x:c r="G5" s="14" t="str">
        <x:v>Закрыт</x:v>
      </x:c>
      <x:c r="H5" s="14" t="str">
        <x:v>S5-0104</x:v>
      </x:c>
    </x:row>
    <x:row r="6">
      <x:c r="A6" s="14" t="str">
        <x:v>R-002</x:v>
      </x:c>
      <x:c r="B6" s="14" t="str">
        <x:v>Высокий</x:v>
      </x:c>
      <x:c r="C6" s="14" t="str">
        <x:v>128 нормативных поверхностей трактуются как 128 уникальных макетов</x:v>
      </x:c>
      <x:c r="D6" s="14" t="str">
        <x:v>Перерасход и расхождение паттернов</x:v>
      </x:c>
      <x:c r="E6" s="14" t="str">
        <x:v>45 component families и reuse map</x:v>
      </x:c>
      <x:c r="F6" s="14" t="str">
        <x:v>Codex</x:v>
      </x:c>
      <x:c r="G6" s="14" t="str">
        <x:v>Контролируется</x:v>
      </x:c>
      <x:c r="H6" s="14" t="str">
        <x:v>S5-0004</x:v>
      </x:c>
    </x:row>
    <x:row r="7">
      <x:c r="A7" s="14" t="str">
        <x:v>R-003</x:v>
      </x:c>
      <x:c r="B7" s="14" t="str">
        <x:v>Высокий</x:v>
      </x:c>
      <x:c r="C7" s="14" t="str">
        <x:v>Accessibility может быть отложена после foundation</x:v>
      </x:c>
      <x:c r="D7" s="14" t="str">
        <x:v>Переделка foundation</x:v>
      </x:c>
      <x:c r="E7" s="14" t="str">
        <x:v>Baseline завершён в 5.1; evidence gate в 5.2</x:v>
      </x:c>
      <x:c r="F7" s="14" t="str">
        <x:v>QA</x:v>
      </x:c>
      <x:c r="G7" s="14" t="str">
        <x:v>Контролируется</x:v>
      </x:c>
      <x:c r="H7" s="14" t="str">
        <x:v>S5-0107</x:v>
      </x:c>
    </x:row>
    <x:row r="8">
      <x:c r="A8" s="14" t="str">
        <x:v>R-004</x:v>
      </x:c>
      <x:c r="B8" s="14" t="str">
        <x:v>Средний</x:v>
      </x:c>
      <x:c r="C8" s="14" t="str">
        <x:v>Нет сохранённых визуальных референсов</x:v>
      </x:c>
      <x:c r="D8" s="14" t="str">
        <x:v>Нужно выбрать новое направление</x:v>
      </x:c>
      <x:c r="E8" s="14" t="str">
        <x:v>Три независимых grounded directions</x:v>
      </x:c>
      <x:c r="F8" s="14" t="str">
        <x:v>Product owner</x:v>
      </x:c>
      <x:c r="G8" s="14" t="str">
        <x:v>Контролируется</x:v>
      </x:c>
      <x:c r="H8" s="14" t="str">
        <x:v>S5-0103</x:v>
      </x:c>
    </x:row>
    <x:row r="9">
      <x:c r="A9" s="14" t="str">
        <x:v>R-005</x:v>
      </x:c>
      <x:c r="B9" s="14" t="str">
        <x:v>Высокий</x:v>
      </x:c>
      <x:c r="C9" s="14" t="str">
        <x:v>Figma не реализуема в WPF/Windows</x:v>
      </x:c>
      <x:c r="D9" s="14" t="str">
        <x:v>Разрыв handoff</x:v>
      </x:c>
      <x:c r="E9" s="14" t="str">
        <x:v>Tech review на Gates 5.1/5.2</x:v>
      </x:c>
      <x:c r="F9" s="14" t="str">
        <x:v>Tech lead</x:v>
      </x:c>
      <x:c r="G9" s="14" t="str">
        <x:v>Открыт</x:v>
      </x:c>
      <x:c r="H9" s="14" t="str">
        <x:v>S5-0108</x:v>
      </x:c>
    </x:row>
    <x:row r="10">
      <x:c r="A10" s="14" t="str">
        <x:v>R-006</x:v>
      </x:c>
      <x:c r="B10" s="14" t="str">
        <x:v>Средний</x:v>
      </x:c>
      <x:c r="C10" s="14" t="str">
        <x:v>Открытые OQ смешаны с design defects</x:v>
      </x:c>
      <x:c r="D10" s="14" t="str">
        <x:v>Неясный допуск</x:v>
      </x:c>
      <x:c r="E10" s="14" t="str">
        <x:v>Отдельный Decisions register</x:v>
      </x:c>
      <x:c r="F10" s="14" t="str">
        <x:v>Product owner</x:v>
      </x:c>
      <x:c r="G10" s="14" t="str">
        <x:v>Контролируется</x:v>
      </x:c>
      <x:c r="H10" s="14" t="str">
        <x:v>S5-0006</x:v>
      </x:c>
    </x:row>
  </x:sheetData>
  <x:mergeCells>
    <x:mergeCell ref="A1:H2"/>
  </x:mergeCells>
  <x:conditionalFormatting sqref="B5:B10">
    <x:cfRule type="containsText" dxfId="11" priority="1" operator="containsText" text="Высокий"/>
    <x:cfRule type="containsText" dxfId="12" priority="2" operator="containsText" text="Средний"/>
  </x:conditionalFormatting>
  <x:pageMargins left="0.7" right="0.7" top="0.75" bottom="0.75" header="0.3" footer="0.3"/>
  <x:tableParts count="1">
    <x:tablePart xmlns:r="http://schemas.openxmlformats.org/officeDocument/2006/relationships" r:id="R2c47df01fc3f47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40" hidden="0" customWidth="1"/>
    <x:col min="5" max="5" width="24" hidden="0" customWidth="1"/>
    <x:col min="6" max="6" width="28" hidden="0" customWidth="1"/>
  </x:cols>
  <x:sheetData>
    <x:row r="1">
      <x:c r="A1" s="3" t="str">
        <x:v>Stage 5 — Change Log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10" t="str">
        <x:v>Date</x:v>
      </x:c>
      <x:c r="B4" s="10" t="str">
        <x:v>Version</x:v>
      </x:c>
      <x:c r="C4" s="10" t="str">
        <x:v>Changed by</x:v>
      </x:c>
      <x:c r="D4" s="10" t="str">
        <x:v>Change</x:v>
      </x:c>
      <x:c r="E4" s="10" t="str">
        <x:v>Affected tasks</x:v>
      </x:c>
      <x:c r="F4" s="10" t="str">
        <x:v>Evidence</x:v>
      </x:c>
    </x:row>
    <x:row r="5">
      <x:c r="A5" s="15" t="n">
        <x:v>46230.375</x:v>
      </x:c>
      <x:c r="B5" s="72" t="str">
        <x:v>1.0</x:v>
      </x:c>
      <x:c r="C5" s="14" t="str">
        <x:v>Codex</x:v>
      </x:c>
      <x:c r="D5" s="14" t="str">
        <x:v>Создан и проверен план Stage 5.0–5.6</x:v>
      </x:c>
      <x:c r="E5" s="14" t="str">
        <x:v>All</x:v>
      </x:c>
      <x:c r="F5" s="14" t="str">
        <x:v>Stage_5_Visual_Design_Plan_1.0.zip</x:v>
      </x:c>
    </x:row>
    <x:row r="6">
      <x:c r="A6" s="15" t="n">
        <x:v>46231.375</x:v>
      </x:c>
      <x:c r="B6" s="72" t="str">
        <x:v>1.1</x:v>
      </x:c>
      <x:c r="C6" s="14" t="str">
        <x:v>Product owner</x:v>
      </x:c>
      <x:c r="D6" s="14" t="str">
        <x:v>Разрешён запуск Stage 5; запрошена динамическая доска</x:v>
      </x:c>
      <x:c r="E6" s="14" t="str">
        <x:v>All</x:v>
      </x:c>
      <x:c r="F6" s="14" t="str">
        <x:v>User instruction</x:v>
      </x:c>
    </x:row>
    <x:row r="7">
      <x:c r="A7" s="15" t="n">
        <x:v>46231.375</x:v>
      </x:c>
      <x:c r="B7" s="72" t="str">
        <x:v>1.2</x:v>
      </x:c>
      <x:c r="C7" s="14" t="str">
        <x:v>Codex</x:v>
      </x:c>
      <x:c r="D7" s="14" t="str">
        <x:v>Создан канонический Task Board; 5.1 и 5.2 переведены в работу</x:v>
      </x:c>
      <x:c r="E7" s="14" t="str">
        <x:v>S5-0003,S5-0103,S5-0201</x:v>
      </x:c>
      <x:c r="F7" s="14" t="str">
        <x:v>Stage_5_Task_Board.xlsx</x:v>
      </x:c>
    </x:row>
    <x:row r="8">
      <x:c r="A8" s="15" t="n">
        <x:v>46231.375</x:v>
      </x:c>
      <x:c r="B8" s="72" t="str">
        <x:v>1.2</x:v>
      </x:c>
      <x:c r="C8" s="14" t="str">
        <x:v>Codex</x:v>
      </x:c>
      <x:c r="D8" s="14" t="str">
        <x:v>Зафиксирован блокер VIS-001 до визуальной реализации 5.2</x:v>
      </x:c>
      <x:c r="E8" s="14" t="str">
        <x:v>S5-0104,S5-0203</x:v>
      </x:c>
      <x:c r="F8" s="14" t="str">
        <x:v>Decisions sheet</x:v>
      </x:c>
    </x:row>
    <x:row r="9">
      <x:c r="A9" s="15" t="n">
        <x:v>46231.375</x:v>
      </x:c>
      <x:c r="B9" s="72" t="str">
        <x:v>1.3</x:v>
      </x:c>
      <x:c r="C9" s="14" t="str">
        <x:v>Codex</x:v>
      </x:c>
      <x:c r="D9" s="14" t="str">
        <x:v>Сгенерированы и сохранены три визуальных направления 5.1</x:v>
      </x:c>
      <x:c r="E9" s="14" t="str">
        <x:v>S5-0103,S5-0104</x:v>
      </x:c>
      <x:c r="F9" s="14" t="str">
        <x:v>work/stage_5_1/directions</x:v>
      </x:c>
    </x:row>
    <x:row r="10">
      <x:c r="A10" s="15" t="n">
        <x:v>46231.375</x:v>
      </x:c>
      <x:c r="B10" s="72" t="str">
        <x:v>1.4</x:v>
      </x:c>
      <x:c r="C10" s="14" t="str">
        <x:v>Codex</x:v>
      </x:c>
      <x:c r="D10" s="14" t="str">
        <x:v>Mapped 128/128 unique SCR и 45 component families; устранён двойной счёт delta rows</x:v>
      </x:c>
      <x:c r="E10" s="14" t="str">
        <x:v>S5-0004,S5-0201,S5-0202</x:v>
      </x:c>
      <x:c r="F10" s="14" t="str">
        <x:v>work/stage_5_2</x:v>
      </x:c>
    </x:row>
    <x:row r="11">
      <x:c r="A11" s="15" t="n">
        <x:v>46231.375</x:v>
      </x:c>
      <x:c r="B11" s="72" t="str">
        <x:v>1.4</x:v>
      </x:c>
      <x:c r="C11" s="14" t="str">
        <x:v>Codex</x:v>
      </x:c>
      <x:c r="D11" s="14" t="str">
        <x:v>Создан нормативный accessibility baseline для keyboard/UIA/contrast/scaling/states</x:v>
      </x:c>
      <x:c r="E11" s="14" t="str">
        <x:v>S5-0107</x:v>
      </x:c>
      <x:c r="F11" s="14" t="str">
        <x:v>work/stage_5_1/Accessibility_Baseline_0.1.md</x:v>
      </x:c>
    </x:row>
    <x:row r="12">
      <x:c r="A12" s="15" t="n">
        <x:v>46231.375</x:v>
      </x:c>
      <x:c r="B12" s="72" t="str">
        <x:v>1.5</x:v>
      </x:c>
      <x:c r="C12" s="14" t="str">
        <x:v>Codex</x:v>
      </x:c>
      <x:c r="D12" s="14" t="str">
        <x:v>Mapped 37/37 FLOW и завершена архитектура библиотеки: 9 tiers, naming, variants, composition</x:v>
      </x:c>
      <x:c r="E12" s="14" t="str">
        <x:v>S5-0004,S5-0005,S5-0202</x:v>
      </x:c>
      <x:c r="F12" s="14" t="str">
        <x:v>work/stage_5_2</x:v>
      </x:c>
    </x:row>
    <x:row r="13">
      <x:c r="A13" s="15" t="n">
        <x:v>46231.375</x:v>
      </x:c>
      <x:c r="B13" s="72" t="str">
        <x:v>1.6</x:v>
      </x:c>
      <x:c r="C13" s="14" t="str">
        <x:v>Codex</x:v>
      </x:c>
      <x:c r="D13" s="14" t="str">
        <x:v>В доску добавлена сквозная трассировка 128 SCR, 37 FLOW, 30 STATE и 25 NFR до требуемого design evidence</x:v>
      </x:c>
      <x:c r="E13" s="14" t="str">
        <x:v>S5-0005</x:v>
      </x:c>
      <x:c r="F13" s="14" t="str">
        <x:v>SCR/FLOW/STATE/NFR Coverage sheets</x:v>
      </x:c>
    </x:row>
    <x:row r="14">
      <x:c r="A14" s="15" t="n">
        <x:v>46231.375</x:v>
      </x:c>
      <x:c r="B14" s="72" t="str">
        <x:v>1.7</x:v>
      </x:c>
      <x:c r="C14" s="14" t="str">
        <x:v>Codex</x:v>
      </x:c>
      <x:c r="D14" s="14" t="str">
        <x:v>Подготовлены 45 component usage contracts и 10 vertical-slice scenario contracts; зафиксирован частичный прогресс визуально заблокированных задач</x:v>
      </x:c>
      <x:c r="E14" s="14" t="str">
        <x:v>S5-0209:S5-0212,S5-0215</x:v>
      </x:c>
      <x:c r="F14" s="14" t="str">
        <x:v>Component Usage + Vertical Slice sheets</x:v>
      </x:c>
    </x:row>
    <x:row r="15">
      <x:c r="A15" s="15" t="n">
        <x:v>46231.375</x:v>
      </x:c>
      <x:c r="B15" s="72" t="str">
        <x:v>1.8</x:v>
      </x:c>
      <x:c r="C15" s="14" t="str">
        <x:v>Codex</x:v>
      </x:c>
      <x:c r="D15" s="14" t="str">
        <x:v>Подготовлены 38 role/action contracts, 56 state/component contracts и usability script на 10 сценариев/4 роли</x:v>
      </x:c>
      <x:c r="E15" s="14" t="str">
        <x:v>S5-0401,S5-0402,S5-0501</x:v>
      </x:c>
      <x:c r="F15" s="14" t="str">
        <x:v>Role Matrix + State Components + Usability Script</x:v>
      </x:c>
    </x:row>
    <x:row r="16">
      <x:c r="A16" s="15" t="n">
        <x:v>46231.375</x:v>
      </x:c>
      <x:c r="B16" s="72" t="str">
        <x:v>1.9</x:v>
      </x:c>
      <x:c r="C16" s="14" t="str">
        <x:v>Product owner</x:v>
      </x:c>
      <x:c r="D16" s="14" t="str">
        <x:v>Выбрано Direction 2 — Timeline planner; VIS-001 закрыт, visual foundations и Stage 5.2 разблокированы</x:v>
      </x:c>
      <x:c r="E16" s="14" t="str">
        <x:v>S5-0103:S5-0106,S5-0203</x:v>
      </x:c>
      <x:c r="F16" s="14" t="str">
        <x:v>User decision + VIS Scorecard</x:v>
      </x:c>
    </x:row>
    <x:row r="17">
      <x:c r="A17" s="15" t="n">
        <x:v>46231.375</x:v>
      </x:c>
      <x:c r="B17" s="72" t="str">
        <x:v>2.0</x:v>
      </x:c>
      <x:c r="C17" s="14" t="str">
        <x:v>Codex</x:v>
      </x:c>
      <x:c r="D17" s="14" t="str">
        <x:v>Завершены foundations/state spec 0.1; собран интерактивный Today timeline slice, production build и browser Design QA passed</x:v>
      </x:c>
      <x:c r="E17" s="14" t="str">
        <x:v>S5-0105:S5-0108,S5-0203:S5-0215</x:v>
      </x:c>
      <x:c r="F17" s="14" t="str">
        <x:v>work/stage_5_prototype + design-qa.md</x:v>
      </x:c>
    </x:row>
    <x:row r="18">
      <x:c r="A18" s="15" t="n">
        <x:v>46231.375</x:v>
      </x:c>
      <x:c r="B18" s="72" t="str">
        <x:v>2.1</x:v>
      </x:c>
      <x:c r="C18" s="14" t="str">
        <x:v>Codex</x:v>
      </x:c>
      <x:c r="D18" s="14" t="str">
        <x:v>Расширен P0 vertical slice: Auth, Inbox→Task, Edit/Conflict, Search/redaction, server loss/read-only/diagnostics/recovery; production build и browser QA passed</x:v>
      </x:c>
      <x:c r="E18" s="14" t="str">
        <x:v>S5-0204:S5-0214</x:v>
      </x:c>
      <x:c r="F18" s="14" t="str">
        <x:v>work/stage_5_prototype + design-qa-stage5-p0.md</x:v>
      </x:c>
    </x:row>
    <x:row r="19">
      <x:c r="A19" s="15" t="n">
        <x:v>46231.375</x:v>
      </x:c>
      <x:c r="B19" s="72" t="str">
        <x:v>2.2</x:v>
      </x:c>
      <x:c r="C19" s="14" t="str">
        <x:v>Codex</x:v>
      </x:c>
      <x:c r="D19" s="14" t="str">
        <x:v>Добавлены Auth/resilience edge states, adaptive shell и accessibility fixes: TLS/incompatible/locked/blocked/cursor/scope/maintenance/storage/reconnect interruption; build/browser/visual QA passed</x:v>
      </x:c>
      <x:c r="E19" s="14" t="str">
        <x:v>S5-0204:S5-0214</x:v>
      </x:c>
      <x:c r="F19" s="14" t="str">
        <x:v>design-qa-stage5-edge-states.md + Accessibility_Evidence_Working_0.2.md</x:v>
      </x:c>
    </x:row>
    <x:row r="20">
      <x:c r="A20" s="15" t="n">
        <x:v>46231.375</x:v>
      </x:c>
      <x:c r="B20" s="72" t="str">
        <x:v>2.3</x:v>
      </x:c>
      <x:c r="C20" s="14" t="str">
        <x:v>Codex</x:v>
      </x:c>
      <x:c r="D20" s="14" t="str">
        <x:v>Реализованы Tasks table/filter/pagination, Projects tree/inspector, Notification Center с target recheck, People/Project pickers, SESSION_REVOKED и download/signature/repeated-failure states</x:v>
      </x:c>
      <x:c r="E20" s="14" t="str">
        <x:v>S5-0204:S5-0214</x:v>
      </x:c>
      <x:c r="F20" s="14" t="str">
        <x:v>design-qa-stage5-surfaces.md + Accessibility_Evidence_Working_0.3.md</x:v>
      </x:c>
    </x:row>
    <x:row r="21">
      <x:c r="A21" s="15" t="n">
        <x:v>46231.375</x:v>
      </x:c>
      <x:c r="B21" s="72" t="str">
        <x:v>2.4</x:v>
      </x:c>
      <x:c r="C21" s="14" t="str">
        <x:v>Codex</x:v>
      </x:c>
      <x:c r="D21" s="14" t="str">
        <x:v>Заморожены Component Usage Map 1.0 и Implementation Specs 0.9: 45/45 families, 128/128 SCR, 37/37 FLOW, behavior/failure/accessibility contracts и explicit gaps</x:v>
      </x:c>
      <x:c r="E21" s="14" t="str">
        <x:v>S5-0215</x:v>
      </x:c>
      <x:c r="F21" s="14" t="str">
        <x:v>Component_Usage_Map_1.0 + Component_Implementation_Specs_0.9</x:v>
      </x:c>
    </x:row>
    <x:row r="22">
      <x:c r="A22" s="15" t="n">
        <x:v>46231.375</x:v>
      </x:c>
      <x:c r="B22" s="72" t="str">
        <x:v>2.5</x:v>
      </x:c>
      <x:c r="C22" s="14" t="str">
        <x:v>Codex</x:v>
      </x:c>
      <x:c r="D22" s="14" t="str">
        <x:v>Реализованы и browser-verified оставшиеся 11 component families: bulk/context actions, project lifecycle/history, scheduling/reminders/recurrence, focus/permission/file-location states</x:v>
      </x:c>
      <x:c r="E22" s="14" t="str">
        <x:v>S5-0205:S5-0214</x:v>
      </x:c>
      <x:c r="F22" s="14" t="str">
        <x:v>design-qa-stage5-component-gaps.md + Accessibility_Evidence_Working_0.4.md</x:v>
      </x:c>
    </x:row>
    <x:row r="23">
      <x:c r="A23" s="15" t="n">
        <x:v>46231.375</x:v>
      </x:c>
      <x:c r="B23" s="72" t="str">
        <x:v>2.6</x:v>
      </x:c>
      <x:c r="C23" s="14" t="str">
        <x:v>Codex</x:v>
      </x:c>
      <x:c r="D23" s="14" t="str">
        <x:v>Приняты результаты трёх задач Stage 5.3: Wave A реализована и проверена; Wave B/C coverage packages проверены; исправлена SCR-привязка Calendar и зафиксирован следующий implementation front</x:v>
      </x:c>
      <x:c r="E23" s="14" t="str">
        <x:v>S5-0301:S5-0309</x:v>
      </x:c>
      <x:c r="F23" s="14" t="str">
        <x:v>work/stage_5_3_wave_a + work/stage_5_3_wave_b + work/stage_5_3_wave_c</x:v>
      </x:c>
    </x:row>
    <x:row r="24">
      <x:c r="A24" s="15" t="n">
        <x:v>46231.375</x:v>
      </x:c>
      <x:c r="B24" s="72" t="str">
        <x:v>2.7</x:v>
      </x:c>
      <x:c r="C24" s="14" t="str">
        <x:v>Codex</x:v>
      </x:c>
      <x:c r="D24" s="14" t="str">
        <x:v>Разделены delivery completion и Gate readiness: завершённые 5.0–5.2 снова показывают 100%, открытые review/OQ/OS checks сохранены отдельным статусом</x:v>
      </x:c>
      <x:c r="E24" s="14" t="str">
        <x:v>S5-0006,S5-0108:S5-0109,S5-0203:S5-0216</x:v>
      </x:c>
      <x:c r="F24" s="14" t="str">
        <x:v>Stage Status + Dashboard</x:v>
      </x:c>
    </x:row>
    <x:row r="25">
      <x:c r="A25" s="15" t="n">
        <x:v>46233.375</x:v>
      </x:c>
      <x:c r="B25" s="72" t="str">
        <x:v>2.8</x:v>
      </x:c>
      <x:c r="C25" s="14" t="str">
        <x:v>Codex</x:v>
      </x:c>
      <x:c r="D25" s="14" t="str">
        <x:v>Wave B implementation фактически проверена и упакована: Projects, Files/SMB design states, CRM/comments/watchers/history; следующий front переведён на Wave C, Gate 5.3 оставлен открытым</x:v>
      </x:c>
      <x:c r="E25" s="14" t="str">
        <x:v>S5-0303:S5-0305,S5-0309</x:v>
      </x:c>
      <x:c r="F25" s="14" t="str">
        <x:v>work/stage_5_3_wave_b_implementation + SHA-256 21/21</x:v>
      </x:c>
    </x:row>
    <x:row r="26">
      <x:c r="A26" s="15" t="n">
        <x:v>46233.375</x:v>
      </x:c>
      <x:c r="B26" s="72" t="str">
        <x:v>2.9</x:v>
      </x:c>
      <x:c r="C26" s="14" t="str">
        <x:v>Codex</x:v>
      </x:c>
      <x:c r="D26" s="14" t="str">
        <x:v>Wave C Search реализован и фактически проверен: full Search, Ctrl+K/Ctrl+F, filters/query transfer, permission-safe partial, offline cache-only; исправлен P1 state-sync defect; следующий front Archive/Trash</x:v>
      </x:c>
      <x:c r="E26" s="14" t="str">
        <x:v>S5-0306,S5-0309</x:v>
      </x:c>
      <x:c r="F26" s="14" t="str">
        <x:v>work/stage_5_3_wave_c_search_increment + SHA-256 16/16</x:v>
      </x:c>
    </x:row>
    <x:row r="27">
      <x:c r="A27" s="15" t="n">
        <x:v>46233.375</x:v>
      </x:c>
      <x:c r="B27" s="72" t="str">
        <x:v>3.0</x:v>
      </x:c>
      <x:c r="C27" s="14" t="str">
        <x:v>Codex</x:v>
      </x:c>
      <x:c r="D27" s="14" t="str">
        <x:v>Wave C Archive/Trash реализован и фактически проверен: read-only lifecycle, permission-safe redaction, restore conflicts, legal hold, typed purge, loading/empty/offline; следующий front Settings</x:v>
      </x:c>
      <x:c r="E27" s="14" t="str">
        <x:v>S5-0306,S5-0309</x:v>
      </x:c>
      <x:c r="F27" s="14" t="str">
        <x:v>work/stage_5_3_wave_c_lifecycle_increment + SHA-256 17/17</x:v>
      </x:c>
    </x:row>
    <x:row r="28">
      <x:c r="A28" s="15" t="n">
        <x:v>46233.375</x:v>
      </x:c>
      <x:c r="B28" s="72" t="str">
        <x:v>3.1</x:v>
      </x:c>
      <x:c r="C28" s="14" t="str">
        <x:v>Codex</x:v>
      </x:c>
      <x:c r="D28" s="14" t="str">
        <x:v>Wave C Settings реализован и фактически проверен: scoped shell, profile/security/notifications/calendar/device/cache/connection/accessibility/sessions, conflict/forbidden/offline; следующий front Admin</x:v>
      </x:c>
      <x:c r="E28" s="14" t="str">
        <x:v>S5-0307,S5-0309</x:v>
      </x:c>
      <x:c r="F28" s="14" t="str">
        <x:v>work/stage_5_3_wave_c_settings_increment + SHA-256 18/18</x:v>
      </x:c>
    </x:row>
    <x:row r="29">
      <x:c r="A29" s="15" t="n">
        <x:v>46233.375</x:v>
      </x:c>
      <x:c r="B29" s="72" t="str">
        <x:v>3.2</x:v>
      </x:c>
      <x:c r="C29" s="14" t="str">
        <x:v>Codex</x:v>
      </x:c>
      <x:c r="D29" s="14" t="str">
        <x:v>Wave C Admin реализован и фактически проверен: capability-filtered users/departments/roles/sessions/resources, lifecycle guards, redaction, effective deny, unsafe path, loading/offline; следующий front Operations</x:v>
      </x:c>
      <x:c r="E29" s="14" t="str">
        <x:v>S5-0307,S5-0309</x:v>
      </x:c>
      <x:c r="F29" s="14" t="str">
        <x:v>work/stage_5_3_wave_c_admin_increment + SHA-256 18/18</x:v>
      </x:c>
    </x:row>
    <x:row r="30">
      <x:c r="A30" s="15" t="n">
        <x:v>46234.375</x:v>
      </x:c>
      <x:c r="B30" s="72" t="str">
        <x:v>3.3</x:v>
      </x:c>
      <x:c r="C30" s="14" t="str">
        <x:v>Codex</x:v>
      </x:c>
      <x:c r="D30" s="14" t="str">
        <x:v>Wave C Operations реализован и automation-verified: Health/jobs/backups/audit/organization, build/Sites и 9/9 tests; package 15/15 including pre-refactor Health screenshot. Browser acceptance честно оставлен PARTIAL/BLOCKED из-за local URL policy</x:v>
      </x:c>
      <x:c r="E30" s="14" t="str">
        <x:v>S5-0308,S5-0309</x:v>
      </x:c>
      <x:c r="F30" s="14" t="str">
        <x:v>work/stage_5_3_wave_c_operations_increment + SHA-256 15/15</x:v>
      </x:c>
    </x:row>
    <x:row r="31">
      <x:c r="A31" s="15" t="n">
        <x:v>46234.375</x:v>
      </x:c>
      <x:c r="B31" s="72" t="str">
        <x:v>3.4</x:v>
      </x:c>
      <x:c r="C31" s="14" t="str">
        <x:v>Codex</x:v>
      </x:c>
      <x:c r="D31" s="14" t="str">
        <x:v>Собран consolidated traceability package: 128/128 SCR и 37/37 FLOW mapped, 21/21 accepted evidence hashes pass; SCR-044 и Operations browser gaps сохранены явно, Gate остаётся open</x:v>
      </x:c>
      <x:c r="E31" s="14" t="str">
        <x:v>S5-0309</x:v>
      </x:c>
      <x:c r="F31" s="14" t="str">
        <x:v>work/stage_5_3_traceability + manifest SHA-256 33C5D9AD...</x:v>
      </x:c>
    </x:row>
    <x:row r="32">
      <x:c r="A32" s="15" t="n">
        <x:v>46235.375</x:v>
      </x:c>
      <x:c r="B32" s="72" t="str">
        <x:v>3.5</x:v>
      </x:c>
      <x:c r="C32" s="14" t="str">
        <x:v>Codex</x:v>
      </x:c>
      <x:c r="D32" s="14" t="str">
        <x:v>Реализован и browser-verified canonical CalendarEvent editor; SCR-044/FLOW-031 переведены в VERIFIED_PACKAGE; traceability обновлена до 0.1.1, Gate остаётся open только по Operations browser evidence и approval</x:v>
      </x:c>
      <x:c r="E32" s="14" t="str">
        <x:v>S5-0302,S5-0309</x:v>
      </x:c>
      <x:c r="F32" s="14" t="str">
        <x:v>stage_5_3_calendar_event_editor_increment 0.1.0 + traceability 0.1.1</x:v>
      </x:c>
    </x:row>
    <x:row r="33">
      <x:c r="A33" s="15" t="n">
        <x:v>46235.375</x:v>
      </x:c>
      <x:c r="B33" s="72" t="str">
        <x:v>3.6</x:v>
      </x:c>
      <x:c r="C33" s="14" t="str">
        <x:v>Codex</x:v>
      </x:c>
      <x:c r="D33" s="14" t="str">
        <x:v>Operations browser acceptance завершена: Health/jobs/backups/restore/audit/organization/limited-role/offline проверены, scroll/disabled-action defects исправлены; Operations 0.2.0 и traceability 0.1.2 hash-verified</x:v>
      </x:c>
      <x:c r="E33" s="14" t="str">
        <x:v>S5-0308,S5-0309</x:v>
      </x:c>
      <x:c r="F33" s="14" t="str">
        <x:v>stage_5_3_wave_c_operations_increment 0.2.0 + traceability 0.1.2</x:v>
      </x:c>
    </x:row>
    <x:row r="34">
      <x:c r="A34" s="15" t="n">
        <x:v>46235.375</x:v>
      </x:c>
      <x:c r="B34" s="72" t="str">
        <x:v>3.7</x:v>
      </x:c>
      <x:c r="C34" s="14" t="str">
        <x:v>Codex</x:v>
      </x:c>
      <x:c r="D34" s="14" t="str">
        <x:v>Stage 5.4 prototype audit собран и проверен: 38/38 role contracts, 56/56 states, 45/45 component families; добавлена Windows forced-colors поддержка; Critical/High = 0; native Windows и approvals оставлены отдельным Gate</x:v>
      </x:c>
      <x:c r="E34" s="14" t="str">
        <x:v>S5-0401:S5-0406</x:v>
      </x:c>
      <x:c r="F34" s="14" t="str">
        <x:v>stage_5_4_design_audit_increment 0.1.0 + SHA-256 validation</x:v>
      </x:c>
    </x:row>
    <x:row r="35">
      <x:c r="A35" s="15" t="n">
        <x:v>46236.375</x:v>
      </x:c>
      <x:c r="B35" s="72" t="str">
        <x:v>3.8</x:v>
      </x:c>
      <x:c r="C35" s="14" t="str">
        <x:v>Codex</x:v>
      </x:c>
      <x:c r="D35" s="14" t="str">
        <x:v>Stage 5.5 expert-proxy walkthrough завершён: 10/10 сценариев, 13/13 screenshot evidence; High draft-loss и Medium callout-overlap defects исправлены и повторно проверены; external sessions остаются Gate</x:v>
      </x:c>
      <x:c r="E35" s="14" t="str">
        <x:v>S5-0501:S5-0504</x:v>
      </x:c>
      <x:c r="F35" s="14" t="str">
        <x:v>stage_5_5_usability_increment 0.1.0 + SHA-256 validation</x:v>
      </x:c>
    </x:row>
    <x:row r="36">
      <x:c r="A36" s="15" t="n">
        <x:v>46236.375</x:v>
      </x:c>
      <x:c r="B36" s="72" t="str">
        <x:v>3.9</x:v>
      </x:c>
      <x:c r="C36" s="14" t="str">
        <x:v>Codex</x:v>
      </x:c>
      <x:c r="D36" s="14" t="str">
        <x:v>Stage 5.6 design delivery собран: code-based Final Visual Baseline 1.0, Design System 1.0, Interactive Prototype 1.0, final traceability/audit, assets/licenses, decisions/findings и Development Handoff; Gate остаётся external</x:v>
      </x:c>
      <x:c r="E36" s="14" t="str">
        <x:v>S5-0601:S5-0605</x:v>
      </x:c>
      <x:c r="F36" s="14" t="str">
        <x:v>stage_5_6_final_visual_baseline_and_handoff 1.0.0 + 64/64 SHA-256 mirror</x:v>
      </x:c>
    </x:row>
    <x:row r="37">
      <x:c r="A37" s="15" t="n">
        <x:v>46236.375</x:v>
      </x:c>
      <x:c r="B37" s="72" t="str">
        <x:v>4.0</x:v>
      </x:c>
      <x:c r="C37" s="14" t="str">
        <x:v>Codex</x:v>
      </x:c>
      <x:c r="D37" s="14" t="str">
        <x:v>Собран исполнимый external Gate 5.6 kit: 12 Windows accessibility checkpoints, 8 DPI/multi-monitor cases, moderated-session templates для UT-01–UT-10/4 roles, 4-role sign-off и валидатор 9 evidence items; честный статус NOT_READY 0/9</x:v>
      </x:c>
      <x:c r="E37" s="14" t="str">
        <x:v>S5-0403:S5-0406,S5-0502:S5-0504,S5-0605</x:v>
      </x:c>
      <x:c r="F37" s="14" t="str">
        <x:v>stage_5_6_external_gate_execution_kit 0.1.0 + SHA-256 validation</x:v>
      </x:c>
    </x:row>
    <x:row r="38">
      <x:c r="A38" s="15" t="n">
        <x:v>46236.375</x:v>
      </x:c>
      <x:c r="B38" s="72" t="str">
        <x:v>4.1</x:v>
      </x:c>
      <x:c r="C38" s="14" t="str">
        <x:v>Codex</x:v>
      </x:c>
      <x:c r="D38" s="14" t="str">
        <x:v>Final Stage 5.6 package обновлён до 1.0.1: Gate execution kit включён внутрь handoff, 6/6 prerequisite manifests validated, 83/83 work/output files mirror; прежняя 1.0.0 помещена в quarantine</x:v>
      </x:c>
      <x:c r="E38" s="14" t="str">
        <x:v>S5-0603:S5-0605</x:v>
      </x:c>
      <x:c r="F38" s="14" t="str">
        <x:v>stage_5_6_final_visual_baseline_and_handoff 1.0.1 + SHA-256 validation</x:v>
      </x:c>
    </x:row>
    <x:row r="39">
      <x:c r="A39" s="15" t="n">
        <x:v>46236.375</x:v>
      </x:c>
      <x:c r="B39" s="72" t="str">
        <x:v>4.2</x:v>
      </x:c>
      <x:c r="C39" s="14" t="str">
        <x:v>Codex</x:v>
      </x:c>
      <x:c r="D39" s="14" t="str">
        <x:v>Выполнен requirement-by-requirement completion audit: 8/8 package manifests valid, 6 требований achieved, 2 partial external, 1 not achieved; Gate evidence 0/9 и objective честно сохранён ACTIVE_NOT_COMPLETE</x:v>
      </x:c>
      <x:c r="E39" s="14" t="str">
        <x:v>S5-0605</x:v>
      </x:c>
      <x:c r="F39" s="14" t="str">
        <x:v>stage_5_completion_audit 0.1.0 + SHA-256 validation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ef25fbbd272e44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6" hidden="0" customWidth="1"/>
    <x:col min="5" max="5" width="18" hidden="0" customWidth="1"/>
    <x:col min="6" max="6" width="9" hidden="0" customWidth="1"/>
    <x:col min="7" max="7" width="38" hidden="0" customWidth="1"/>
    <x:col min="8" max="8" width="30" hidden="0" customWidth="1"/>
    <x:col min="9" max="9" width="14" hidden="0" customWidth="1"/>
    <x:col min="10" max="10" width="12" hidden="0" customWidth="1"/>
    <x:col min="11" max="11" width="34" hidden="0" customWidth="1"/>
    <x:col min="12" max="12" width="32" hidden="0" customWidth="1"/>
  </x:cols>
  <x:sheetData>
    <x:row r="1">
      <x:c r="A1" s="3" t="str">
        <x:v>Stage 5 — SCR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 t="str">
        <x:v>128 уникальных нормативных поверхностей. Строка считается трассированной, когда известны pattern/components и требуемое design evidence; визуальный статус обновляется по мере 5.2–5.4.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17" t="str">
        <x:v>SCR ID</x:v>
      </x:c>
      <x:c r="B4" s="18" t="str">
        <x:v>Module</x:v>
      </x:c>
      <x:c r="C4" s="18" t="str">
        <x:v>Surface</x:v>
      </x:c>
      <x:c r="D4" s="18" t="str">
        <x:v>Type</x:v>
      </x:c>
      <x:c r="E4" s="18" t="str">
        <x:v>Pattern</x:v>
      </x:c>
      <x:c r="F4" s="18" t="str">
        <x:v>Priority</x:v>
      </x:c>
      <x:c r="G4" s="18" t="str">
        <x:v>Shared components</x:v>
      </x:c>
      <x:c r="H4" s="18" t="str">
        <x:v>States</x:v>
      </x:c>
      <x:c r="I4" s="18" t="str">
        <x:v>Style dependency</x:v>
      </x:c>
      <x:c r="J4" s="18" t="str">
        <x:v>Mapping</x:v>
      </x:c>
      <x:c r="K4" s="18" t="str">
        <x:v>Required design evidence</x:v>
      </x:c>
      <x:c r="L4" s="19" t="str">
        <x:v>Evidence status</x:v>
      </x:c>
    </x:row>
    <x:row r="5">
      <x:c r="A5" s="73" t="str">
        <x:v>SCR-001</x:v>
      </x:c>
      <x:c r="B5" s="23" t="str">
        <x:v>Auth</x:v>
      </x:c>
      <x:c r="C5" s="23" t="str">
        <x:v>Вход</x:v>
      </x:c>
      <x:c r="D5" s="23" t="str">
        <x:v>page</x:v>
      </x:c>
      <x:c r="E5" s="23" t="str">
        <x:v>Page</x:v>
      </x:c>
      <x:c r="F5" s="23" t="str">
        <x:v>P0</x:v>
      </x:c>
      <x:c r="G5" s="23" t="str">
        <x:v>ConnectivityBanner; ErrorMessage; LoadingState; PageLayout; ProgressIndicator; ReadOnlyBanner; RetryAction; SurfaceTitle</x:v>
      </x:c>
      <x:c r="H5" s="23" t="str">
        <x:v>loading; invalid; locked; blocked; unavailable</x:v>
      </x:c>
      <x:c r="I5" s="23" t="str">
        <x:v>VIS-001</x:v>
      </x:c>
      <x:c r="J5" s="23" t="str">
        <x:v>Mapped</x:v>
      </x:c>
      <x:c r="K5" s="23" t="str">
        <x:v>Hi-fi frame + state set + keyboard walkthrough</x:v>
      </x:c>
      <x:c r="L5" s="26" t="str">
        <x:v>Visual evidence pending</x:v>
      </x:c>
    </x:row>
    <x:row r="6">
      <x:c r="A6" s="73" t="str">
        <x:v>SCR-002</x:v>
      </x:c>
      <x:c r="B6" s="23" t="str">
        <x:v>Auth</x:v>
      </x:c>
      <x:c r="C6" s="23" t="str">
        <x:v>Подключение к серверу</x:v>
      </x:c>
      <x:c r="D6" s="23" t="str">
        <x:v>page/dialog</x:v>
      </x:c>
      <x:c r="E6" s="23" t="str">
        <x:v>Modal dialog</x:v>
      </x:c>
      <x:c r="F6" s="23" t="str">
        <x:v>P0</x:v>
      </x:c>
      <x:c r="G6" s="23" t="str">
        <x:v>ConnectivityBanner; DialogShell; ErrorMessage; FieldLabel; FocusTrap; FormLayout; LoadingState; PageLayout; ProgressIndicator; ReadOnlyBanner; RetryAction; SurfaceTitle; ValidationMessage</x:v>
      </x:c>
      <x:c r="H6" s="23" t="str">
        <x:v>checking; TLS error; unavailable; incompatible</x:v>
      </x:c>
      <x:c r="I6" s="23" t="str">
        <x:v>VIS-001</x:v>
      </x:c>
      <x:c r="J6" s="23" t="str">
        <x:v>Mapped</x:v>
      </x:c>
      <x:c r="K6" s="23" t="str">
        <x:v>Hi-fi frame + state set + keyboard walkthrough</x:v>
      </x:c>
      <x:c r="L6" s="26" t="str">
        <x:v>Visual evidence pending</x:v>
      </x:c>
    </x:row>
    <x:row r="7">
      <x:c r="A7" s="73" t="str">
        <x:v>SCR-006</x:v>
      </x:c>
      <x:c r="B7" s="23" t="str">
        <x:v>Auth</x:v>
      </x:c>
      <x:c r="C7" s="23" t="str">
        <x:v>Сессия прервана</x:v>
      </x:c>
      <x:c r="D7" s="23" t="str">
        <x:v>blocking dialog/page</x:v>
      </x:c>
      <x:c r="E7" s="23" t="str">
        <x:v>Blocking state</x:v>
      </x:c>
      <x:c r="F7" s="23" t="str">
        <x:v>P0</x:v>
      </x:c>
      <x:c r="G7" s="23" t="str">
        <x:v>DialogShell; FocusTrap; PageLayout; RecurrenceEditor; SurfaceTitle</x:v>
      </x:c>
      <x:c r="H7" s="23" t="str">
        <x:v>expired; revoked; compromised; device revoked</x:v>
      </x:c>
      <x:c r="I7" s="23" t="str">
        <x:v>VIS-001</x:v>
      </x:c>
      <x:c r="J7" s="23" t="str">
        <x:v>Mapped</x:v>
      </x:c>
      <x:c r="K7" s="23" t="str">
        <x:v>Hi-fi frame + state set + keyboard walkthrough</x:v>
      </x:c>
      <x:c r="L7" s="26" t="str">
        <x:v>Visual evidence pending</x:v>
      </x:c>
    </x:row>
    <x:row r="8">
      <x:c r="A8" s="73" t="str">
        <x:v>SCR-003</x:v>
      </x:c>
      <x:c r="B8" s="23" t="str">
        <x:v>Sync</x:v>
      </x:c>
      <x:c r="C8" s="23" t="str">
        <x:v>Bootstrap и запуск</x:v>
      </x:c>
      <x:c r="D8" s="23" t="str">
        <x:v>page</x:v>
      </x:c>
      <x:c r="E8" s="23" t="str">
        <x:v>Page</x:v>
      </x:c>
      <x:c r="F8" s="23" t="str">
        <x:v>P0</x:v>
      </x:c>
      <x:c r="G8" s="23" t="str">
        <x:v>ConnectivityBanner; LoadingState; PageLayout; Pagination; ProgressIndicator; ReadOnlyBanner; RecurrenceEditor; RetryAction; SemanticStatus; SurfaceTitle</x:v>
      </x:c>
      <x:c r="H8" s="23" t="str">
        <x:v>dataset progress; reconnecting; scope changed</x:v>
      </x:c>
      <x:c r="I8" s="23" t="str">
        <x:v>VIS-001</x:v>
      </x:c>
      <x:c r="J8" s="23" t="str">
        <x:v>Mapped</x:v>
      </x:c>
      <x:c r="K8" s="23" t="str">
        <x:v>Hi-fi frame + state set + keyboard walkthrough</x:v>
      </x:c>
      <x:c r="L8" s="26" t="str">
        <x:v>Visual evidence pending</x:v>
      </x:c>
    </x:row>
    <x:row r="9">
      <x:c r="A9" s="73" t="str">
        <x:v>SCR-160</x:v>
      </x:c>
      <x:c r="B9" s="23" t="str">
        <x:v>Sync</x:v>
      </x:c>
      <x:c r="C9" s="23" t="str">
        <x:v>Sync status</x:v>
      </x:c>
      <x:c r="D9" s="23" t="str">
        <x:v>popover/panel</x:v>
      </x:c>
      <x:c r="E9" s="23" t="str">
        <x:v>Popover</x:v>
      </x:c>
      <x:c r="F9" s="23" t="str">
        <x:v>P0</x:v>
      </x:c>
      <x:c r="G9" s="23" t="str">
        <x:v>ConnectivityBanner; DateTimePicker; InspectorPanel; LoadingState; Pagination; PopoverSurface; ProgressIndicator; ReadOnlyBanner; RetryAction; SemanticStatus; SurfaceTitle</x:v>
      </x:c>
      <x:c r="H9" s="23" t="str">
        <x:v>reconnecting; pending; scope changed</x:v>
      </x:c>
      <x:c r="I9" s="23" t="str">
        <x:v>VIS-001</x:v>
      </x:c>
      <x:c r="J9" s="23" t="str">
        <x:v>Mapped</x:v>
      </x:c>
      <x:c r="K9" s="23" t="str">
        <x:v>Hi-fi frame + state set + keyboard walkthrough</x:v>
      </x:c>
      <x:c r="L9" s="26" t="str">
        <x:v>Visual evidence pending</x:v>
      </x:c>
    </x:row>
    <x:row r="10">
      <x:c r="A10" s="73" t="str">
        <x:v>SCR-206</x:v>
      </x:c>
      <x:c r="B10" s="23" t="str">
        <x:v>Sync</x:v>
      </x:c>
      <x:c r="C10" s="23" t="str">
        <x:v>Sync status popover</x:v>
      </x:c>
      <x:c r="D10" s="23" t="str">
        <x:v>status popover</x:v>
      </x:c>
      <x:c r="E10" s="23" t="str">
        <x:v>Status popover</x:v>
      </x:c>
      <x:c r="F10" s="23" t="str">
        <x:v>P0</x:v>
      </x:c>
      <x:c r="G10" s="23" t="str">
        <x:v>DateTimePicker; ErrorMessage; LoadingState; Pagination; PopoverSurface; ProgressIndicator; SemanticStatus; SurfaceTitle</x:v>
      </x:c>
      <x:c r="H10" s="23" t="str">
        <x:v>pending; cursor expired; scope changed</x:v>
      </x:c>
      <x:c r="I10" s="23" t="str">
        <x:v>VIS-001</x:v>
      </x:c>
      <x:c r="J10" s="23" t="str">
        <x:v>Mapped</x:v>
      </x:c>
      <x:c r="K10" s="23" t="str">
        <x:v>Hi-fi frame + state set + keyboard walkthrough</x:v>
      </x:c>
      <x:c r="L10" s="26" t="str">
        <x:v>Visual evidence pending</x:v>
      </x:c>
    </x:row>
    <x:row r="11">
      <x:c r="A11" s="73" t="str">
        <x:v>SCR-004</x:v>
      </x:c>
      <x:c r="B11" s="23" t="str">
        <x:v>Shell</x:v>
      </x:c>
      <x:c r="C11" s="23" t="str">
        <x:v>Главное окно</x:v>
      </x:c>
      <x:c r="D11" s="23" t="str">
        <x:v>shell</x:v>
      </x:c>
      <x:c r="E11" s="23" t="str">
        <x:v>Application shell</x:v>
      </x:c>
      <x:c r="F11" s="23" t="str">
        <x:v>P0</x:v>
      </x:c>
      <x:c r="G11" s="23" t="str">
        <x:v>CommandBar; ConnectionStatus; ConnectivityBanner; FieldLabel; FileLocationView; FormLayout; NavigationRail; ProfileMenu; ReadOnlyBanner; RetryAction; SearchBox; SemanticStatus; SurfaceTitle; ValidationMessage</x:v>
      </x:c>
      <x:c r="H11" s="23" t="str">
        <x:v>online; offline; syncing; maintenance; storage full</x:v>
      </x:c>
      <x:c r="I11" s="23" t="str">
        <x:v>VIS-001</x:v>
      </x:c>
      <x:c r="J11" s="23" t="str">
        <x:v>Mapped</x:v>
      </x:c>
      <x:c r="K11" s="23" t="str">
        <x:v>Hi-fi frame + state set + keyboard walkthrough</x:v>
      </x:c>
      <x:c r="L11" s="26" t="str">
        <x:v>Visual evidence pending</x:v>
      </x:c>
    </x:row>
    <x:row r="12">
      <x:c r="A12" s="73" t="str">
        <x:v>SCR-005</x:v>
      </x:c>
      <x:c r="B12" s="23" t="str">
        <x:v>Shell</x:v>
      </x:c>
      <x:c r="C12" s="23" t="str">
        <x:v>Command palette</x:v>
      </x:c>
      <x:c r="D12" s="23" t="str">
        <x:v>overlay</x:v>
      </x:c>
      <x:c r="E12" s="23" t="str">
        <x:v>Overlay / command surface</x:v>
      </x:c>
      <x:c r="F12" s="23" t="str">
        <x:v>P0</x:v>
      </x:c>
      <x:c r="G12" s="23" t="str">
        <x:v>ConnectivityBanner; DateTimePicker; EmptyState; FieldLabel; FilterBar; FormLayout; PermissionState; PopoverSurface; ReadOnlyBanner; RetryAction; SemanticStatus; SurfaceTitle; ValidationMessage</x:v>
      </x:c>
      <x:c r="H12" s="23" t="str">
        <x:v>empty; filtered; offline limited</x:v>
      </x:c>
      <x:c r="I12" s="23" t="str">
        <x:v>VIS-001</x:v>
      </x:c>
      <x:c r="J12" s="23" t="str">
        <x:v>Mapped</x:v>
      </x:c>
      <x:c r="K12" s="23" t="str">
        <x:v>Hi-fi frame + state set + keyboard walkthrough</x:v>
      </x:c>
      <x:c r="L12" s="26" t="str">
        <x:v>Visual evidence pending</x:v>
      </x:c>
    </x:row>
    <x:row r="13">
      <x:c r="A13" s="73" t="str">
        <x:v>SCR-007</x:v>
      </x:c>
      <x:c r="B13" s="23" t="str">
        <x:v>Shell</x:v>
      </x:c>
      <x:c r="C13" s="23" t="str">
        <x:v>Требуется обновление</x:v>
      </x:c>
      <x:c r="D13" s="23" t="str">
        <x:v>blocking page</x:v>
      </x:c>
      <x:c r="E13" s="23" t="str">
        <x:v>Blocking state</x:v>
      </x:c>
      <x:c r="F13" s="23" t="str">
        <x:v>P0</x:v>
      </x:c>
      <x:c r="G13" s="23" t="str">
        <x:v>ConnectivityBanner; DialogShell; FocusTrap; PageLayout; ReadOnlyBanner; RetryAction; SemanticStatus; SurfaceTitle</x:v>
      </x:c>
      <x:c r="H13" s="23" t="str">
        <x:v>required; download/signature failure</x:v>
      </x:c>
      <x:c r="I13" s="23" t="str">
        <x:v>VIS-001</x:v>
      </x:c>
      <x:c r="J13" s="23" t="str">
        <x:v>Mapped</x:v>
      </x:c>
      <x:c r="K13" s="23" t="str">
        <x:v>Hi-fi frame + state set + keyboard walkthrough</x:v>
      </x:c>
      <x:c r="L13" s="26" t="str">
        <x:v>Visual evidence pending</x:v>
      </x:c>
    </x:row>
    <x:row r="14">
      <x:c r="A14" s="73" t="str">
        <x:v>SCR-008</x:v>
      </x:c>
      <x:c r="B14" s="23" t="str">
        <x:v>Shell</x:v>
      </x:c>
      <x:c r="C14" s="23" t="str">
        <x:v>Глобальный quick create</x:v>
      </x:c>
      <x:c r="D14" s="23" t="str">
        <x:v>popover</x:v>
      </x:c>
      <x:c r="E14" s="23" t="str">
        <x:v>Popover</x:v>
      </x:c>
      <x:c r="F14" s="23" t="str">
        <x:v>P0</x:v>
      </x:c>
      <x:c r="G14" s="23" t="str">
        <x:v>ConnectivityBanner; DateTimePicker; ErrorMessage; FieldLabel; FormLayout; PermissionState; PopoverSurface; ReadOnlyBanner; RetryAction; SemanticStatus; SurfaceTitle; TaskRow; TaskStatusControl; UrgencyIndicator; ValidationMessage</x:v>
      </x:c>
      <x:c r="H14" s="23" t="str">
        <x:v>validation; offline disabled; forbidden</x:v>
      </x:c>
      <x:c r="I14" s="23" t="str">
        <x:v>VIS-001</x:v>
      </x:c>
      <x:c r="J14" s="23" t="str">
        <x:v>Mapped</x:v>
      </x:c>
      <x:c r="K14" s="23" t="str">
        <x:v>Hi-fi frame + state set + keyboard walkthrough</x:v>
      </x:c>
      <x:c r="L14" s="26" t="str">
        <x:v>Visual evidence pending</x:v>
      </x:c>
    </x:row>
    <x:row r="15">
      <x:c r="A15" s="73" t="str">
        <x:v>SCR-211</x:v>
      </x:c>
      <x:c r="B15" s="23" t="str">
        <x:v>Shell</x:v>
      </x:c>
      <x:c r="C15" s="23" t="str">
        <x:v>System tray menu</x:v>
      </x:c>
      <x:c r="D15" s="23" t="str">
        <x:v>tray surface</x:v>
      </x:c>
      <x:c r="E15" s="23" t="str">
        <x:v>Windows integration surface</x:v>
      </x:c>
      <x:c r="F15" s="23" t="str">
        <x:v>P0</x:v>
      </x:c>
      <x:c r="G15" s="23" t="str">
        <x:v>ConnectivityBanner; ReadOnlyBanner; RetryAction; SemanticStatus; SurfaceTitle</x:v>
      </x:c>
      <x:c r="H15" s="23" t="str">
        <x:v>offline; session revoked</x:v>
      </x:c>
      <x:c r="I15" s="23" t="str">
        <x:v>VIS-001</x:v>
      </x:c>
      <x:c r="J15" s="23" t="str">
        <x:v>Mapped</x:v>
      </x:c>
      <x:c r="K15" s="23" t="str">
        <x:v>Hi-fi frame + state set + keyboard walkthrough</x:v>
      </x:c>
      <x:c r="L15" s="26" t="str">
        <x:v>Visual evidence pending</x:v>
      </x:c>
    </x:row>
    <x:row r="16">
      <x:c r="A16" s="73" t="str">
        <x:v>SCR-212</x:v>
      </x:c>
      <x:c r="B16" s="23" t="str">
        <x:v>Shell</x:v>
      </x:c>
      <x:c r="C16" s="23" t="str">
        <x:v>Toast deep-link activation</x:v>
      </x:c>
      <x:c r="D16" s="23" t="str">
        <x:v>system integration</x:v>
      </x:c>
      <x:c r="E16" s="23" t="str">
        <x:v>Windows integration surface</x:v>
      </x:c>
      <x:c r="F16" s="23" t="str">
        <x:v>P0</x:v>
      </x:c>
      <x:c r="G16" s="23" t="str">
        <x:v>NotificationItem; PermissionState; SemanticStatus; SurfaceTitle</x:v>
      </x:c>
      <x:c r="H16" s="23" t="str">
        <x:v>session expired; target hidden</x:v>
      </x:c>
      <x:c r="I16" s="23" t="str">
        <x:v>VIS-001</x:v>
      </x:c>
      <x:c r="J16" s="23" t="str">
        <x:v>Mapped</x:v>
      </x:c>
      <x:c r="K16" s="23" t="str">
        <x:v>Hi-fi frame + state set + keyboard walkthrough</x:v>
      </x:c>
      <x:c r="L16" s="26" t="str">
        <x:v>Visual evidence pending</x:v>
      </x:c>
    </x:row>
    <x:row r="17">
      <x:c r="A17" s="73" t="str">
        <x:v>SCR-010</x:v>
      </x:c>
      <x:c r="B17" s="23" t="str">
        <x:v>Today</x:v>
      </x:c>
      <x:c r="C17" s="23" t="str">
        <x:v>Сегодня</x:v>
      </x:c>
      <x:c r="D17" s="23" t="str">
        <x:v>page</x:v>
      </x:c>
      <x:c r="E17" s="23" t="str">
        <x:v>Page</x:v>
      </x:c>
      <x:c r="F17" s="23" t="str">
        <x:v>P0</x:v>
      </x:c>
      <x:c r="G17" s="23" t="str">
        <x:v>ConflictNotice; ConnectivityBanner; EmptyState; ErrorMessage; FilterBar; LoadingState; PageLayout; PermissionState; ProgressIndicator; ReadOnlyBanner; ReminderEditor; RetryAction; SemanticStatus; SurfaceTitle; TaskRow; TaskStatusControl; UrgencyIndicator</x:v>
      </x:c>
      <x:c r="H17" s="23" t="str">
        <x:v>section loading/error; empty; stale; offline; partial</x:v>
      </x:c>
      <x:c r="I17" s="23" t="str">
        <x:v>VIS-001</x:v>
      </x:c>
      <x:c r="J17" s="23" t="str">
        <x:v>Mapped</x:v>
      </x:c>
      <x:c r="K17" s="23" t="str">
        <x:v>Hi-fi frame + state set + keyboard walkthrough</x:v>
      </x:c>
      <x:c r="L17" s="26" t="str">
        <x:v>Visual evidence pending</x:v>
      </x:c>
    </x:row>
    <x:row r="18">
      <x:c r="A18" s="73" t="str">
        <x:v>SCR-011</x:v>
      </x:c>
      <x:c r="B18" s="23" t="str">
        <x:v>Today</x:v>
      </x:c>
      <x:c r="C18" s="23" t="str">
        <x:v>Фильтр Today</x:v>
      </x:c>
      <x:c r="D18" s="23" t="str">
        <x:v>panel</x:v>
      </x:c>
      <x:c r="E18" s="23" t="str">
        <x:v>Panel</x:v>
      </x:c>
      <x:c r="F18" s="23" t="str">
        <x:v>P0</x:v>
      </x:c>
      <x:c r="G18" s="23" t="str">
        <x:v>FieldLabel; FilterBar; FormLayout; InspectorPanel; PeoplePicker; PermissionState; ReminderEditor; SurfaceTitle; TaskRow; TaskStatusControl; UrgencyIndicator; ValidationMessage</x:v>
      </x:c>
      <x:c r="H18" s="23" t="str">
        <x:v>partial directory; forbidden scope</x:v>
      </x:c>
      <x:c r="I18" s="23" t="str">
        <x:v>VIS-001</x:v>
      </x:c>
      <x:c r="J18" s="23" t="str">
        <x:v>Mapped</x:v>
      </x:c>
      <x:c r="K18" s="23" t="str">
        <x:v>Hi-fi frame + state set + keyboard walkthrough</x:v>
      </x:c>
      <x:c r="L18" s="26" t="str">
        <x:v>Visual evidence pending</x:v>
      </x:c>
    </x:row>
    <x:row r="19">
      <x:c r="A19" s="73" t="str">
        <x:v>SCR-012</x:v>
      </x:c>
      <x:c r="B19" s="23" t="str">
        <x:v>Inbox</x:v>
      </x:c>
      <x:c r="C19" s="23" t="str">
        <x:v>Входящие</x:v>
      </x:c>
      <x:c r="D19" s="23" t="str">
        <x:v>page</x:v>
      </x:c>
      <x:c r="E19" s="23" t="str">
        <x:v>Page</x:v>
      </x:c>
      <x:c r="F19" s="23" t="str">
        <x:v>P0</x:v>
      </x:c>
      <x:c r="G19" s="23" t="str">
        <x:v>BulkResultSummary; ConflictNotice; ConnectivityBanner; DataList; EmptyState; FilterBar; PageLayout; PermissionState; ProjectPicker; ReadOnlyBanner; RetryAction; SurfaceTitle</x:v>
      </x:c>
      <x:c r="H19" s="23" t="str">
        <x:v>empty; filtered; offline read-only; conflict</x:v>
      </x:c>
      <x:c r="I19" s="23" t="str">
        <x:v>VIS-001</x:v>
      </x:c>
      <x:c r="J19" s="23" t="str">
        <x:v>Mapped</x:v>
      </x:c>
      <x:c r="K19" s="23" t="str">
        <x:v>Hi-fi frame + state set + keyboard walkthrough</x:v>
      </x:c>
      <x:c r="L19" s="26" t="str">
        <x:v>Visual evidence pending</x:v>
      </x:c>
    </x:row>
    <x:row r="20">
      <x:c r="A20" s="73" t="str">
        <x:v>SCR-013</x:v>
      </x:c>
      <x:c r="B20" s="23" t="str">
        <x:v>Inbox</x:v>
      </x:c>
      <x:c r="C20" s="23" t="str">
        <x:v>Обработка входящего</x:v>
      </x:c>
      <x:c r="D20" s="23" t="str">
        <x:v>drawer/dialog</x:v>
      </x:c>
      <x:c r="E20" s="23" t="str">
        <x:v>Drawer</x:v>
      </x:c>
      <x:c r="F20" s="23" t="str">
        <x:v>P0</x:v>
      </x:c>
      <x:c r="G20" s="23" t="str">
        <x:v>ConflictNotice; DialogShell; ErrorMessage; FocusTrap; InspectorPanel; PermissionState; ProjectPicker; SurfaceTitle; TaskRow; TaskStatusControl; UrgencyIndicator</x:v>
      </x:c>
      <x:c r="H20" s="23" t="str">
        <x:v>validation; target forbidden; duplicate; conflict</x:v>
      </x:c>
      <x:c r="I20" s="23" t="str">
        <x:v>VIS-001</x:v>
      </x:c>
      <x:c r="J20" s="23" t="str">
        <x:v>Mapped</x:v>
      </x:c>
      <x:c r="K20" s="23" t="str">
        <x:v>Hi-fi frame + state set + keyboard walkthrough</x:v>
      </x:c>
      <x:c r="L20" s="26" t="str">
        <x:v>Visual evidence pending</x:v>
      </x:c>
    </x:row>
    <x:row r="21">
      <x:c r="A21" s="73" t="str">
        <x:v>SCR-014</x:v>
      </x:c>
      <x:c r="B21" s="23" t="str">
        <x:v>Inbox</x:v>
      </x:c>
      <x:c r="C21" s="23" t="str">
        <x:v>Контекстное меню Входящих</x:v>
      </x:c>
      <x:c r="D21" s="23" t="str">
        <x:v>context menu</x:v>
      </x:c>
      <x:c r="E21" s="23" t="str">
        <x:v>Context menu</x:v>
      </x:c>
      <x:c r="F21" s="23" t="str">
        <x:v>P0</x:v>
      </x:c>
      <x:c r="G21" s="23" t="str">
        <x:v>ContextMenu; PermissionState; ProjectPicker; SurfaceTitle</x:v>
      </x:c>
      <x:c r="H21" s="23" t="str">
        <x:v>disabled reason; stale selection</x:v>
      </x:c>
      <x:c r="I21" s="23" t="str">
        <x:v>VIS-001</x:v>
      </x:c>
      <x:c r="J21" s="23" t="str">
        <x:v>Mapped</x:v>
      </x:c>
      <x:c r="K21" s="23" t="str">
        <x:v>Hi-fi frame + state set + keyboard walkthrough</x:v>
      </x:c>
      <x:c r="L21" s="26" t="str">
        <x:v>Visual evidence pending</x:v>
      </x:c>
    </x:row>
    <x:row r="22">
      <x:c r="A22" s="73" t="str">
        <x:v>SCR-020</x:v>
      </x:c>
      <x:c r="B22" s="23" t="str">
        <x:v>Tasks</x:v>
      </x:c>
      <x:c r="C22" s="23" t="str">
        <x:v>Задачи: список/дерево</x:v>
      </x:c>
      <x:c r="D22" s="23" t="str">
        <x:v>page</x:v>
      </x:c>
      <x:c r="E22" s="23" t="str">
        <x:v>Data list</x:v>
      </x:c>
      <x:c r="F22" s="23" t="str">
        <x:v>P0</x:v>
      </x:c>
      <x:c r="G22" s="23" t="str">
        <x:v>ConnectivityBanner; DataList; EmptyState; FieldLabel; FilterBar; FormLayout; LoadingState; PageLayout; PeoplePicker; PermissionState; ProgressIndicator; ReadOnlyBanner; RecurrenceEditor; ReminderEditor; RetryAction; SearchBox; SelectionBar; SurfaceTitle; TaskRow; TaskStatusControl; TreeView; UrgencyIndicator; ValidationMessage</x:v>
      </x:c>
      <x:c r="H22" s="23" t="str">
        <x:v>loading; empty; filtered; partial; stale; offline</x:v>
      </x:c>
      <x:c r="I22" s="23" t="str">
        <x:v>VIS-001</x:v>
      </x:c>
      <x:c r="J22" s="23" t="str">
        <x:v>Mapped</x:v>
      </x:c>
      <x:c r="K22" s="23" t="str">
        <x:v>Hi-fi frame + state set + keyboard walkthrough</x:v>
      </x:c>
      <x:c r="L22" s="26" t="str">
        <x:v>Visual evidence pending</x:v>
      </x:c>
    </x:row>
    <x:row r="23">
      <x:c r="A23" s="73" t="str">
        <x:v>SCR-021</x:v>
      </x:c>
      <x:c r="B23" s="23" t="str">
        <x:v>Tasks</x:v>
      </x:c>
      <x:c r="C23" s="23" t="str">
        <x:v>Фильтры задач</x:v>
      </x:c>
      <x:c r="D23" s="23" t="str">
        <x:v>panel</x:v>
      </x:c>
      <x:c r="E23" s="23" t="str">
        <x:v>Panel</x:v>
      </x:c>
      <x:c r="F23" s="23" t="str">
        <x:v>P0</x:v>
      </x:c>
      <x:c r="G23" s="23" t="str">
        <x:v>DateTimePicker; EmptyState; FieldLabel; FileLocationView; FilterBar; FormLayout; InspectorPanel; PeoplePicker; PermissionState; ProjectPicker; RecurrenceEditor; ReminderEditor; SemanticStatus; SurfaceTitle; TaskRow; TaskStatusControl; UrgencyIndicator; ValidationMessage</x:v>
      </x:c>
      <x:c r="H23" s="23" t="str">
        <x:v>filtered empty; removed filter value</x:v>
      </x:c>
      <x:c r="I23" s="23" t="str">
        <x:v>VIS-001</x:v>
      </x:c>
      <x:c r="J23" s="23" t="str">
        <x:v>Mapped</x:v>
      </x:c>
      <x:c r="K23" s="23" t="str">
        <x:v>Hi-fi frame + state set + keyboard walkthrough</x:v>
      </x:c>
      <x:c r="L23" s="26" t="str">
        <x:v>Visual evidence pending</x:v>
      </x:c>
    </x:row>
    <x:row r="24">
      <x:c r="A24" s="73" t="str">
        <x:v>SCR-022</x:v>
      </x:c>
      <x:c r="B24" s="23" t="str">
        <x:v>Tasks</x:v>
      </x:c>
      <x:c r="C24" s="23" t="str">
        <x:v>Быстрое создание задачи</x:v>
      </x:c>
      <x:c r="D24" s="23" t="str">
        <x:v>popover/dialog</x:v>
      </x:c>
      <x:c r="E24" s="23" t="str">
        <x:v>Popover</x:v>
      </x:c>
      <x:c r="F24" s="23" t="str">
        <x:v>P0</x:v>
      </x:c>
      <x:c r="G24" s="23" t="str">
        <x:v>ConnectivityBanner; DateTimePicker; DialogShell; ErrorMessage; FieldLabel; FocusTrap; FormLayout; PeoplePicker; PermissionState; PopoverSurface; ReadOnlyBanner; RecurrenceEditor; ReminderEditor; RetryAction; SurfaceTitle; TaskRow; TaskStatusControl; UrgencyIndicator; ValidationMessage</x:v>
      </x:c>
      <x:c r="H24" s="23" t="str">
        <x:v>validation; offline; forbidden</x:v>
      </x:c>
      <x:c r="I24" s="23" t="str">
        <x:v>VIS-001</x:v>
      </x:c>
      <x:c r="J24" s="23" t="str">
        <x:v>Mapped</x:v>
      </x:c>
      <x:c r="K24" s="23" t="str">
        <x:v>Hi-fi frame + state set + keyboard walkthrough</x:v>
      </x:c>
      <x:c r="L24" s="26" t="str">
        <x:v>Visual evidence pending</x:v>
      </x:c>
    </x:row>
    <x:row r="25">
      <x:c r="A25" s="73" t="str">
        <x:v>SCR-023</x:v>
      </x:c>
      <x:c r="B25" s="23" t="str">
        <x:v>Tasks</x:v>
      </x:c>
      <x:c r="C25" s="23" t="str">
        <x:v>Полный редактор задачи</x:v>
      </x:c>
      <x:c r="D25" s="23" t="str">
        <x:v>page/dialog</x:v>
      </x:c>
      <x:c r="E25" s="23" t="str">
        <x:v>Modal dialog</x:v>
      </x:c>
      <x:c r="F25" s="23" t="str">
        <x:v>P0</x:v>
      </x:c>
      <x:c r="G25" s="23" t="str">
        <x:v>ConflictNotice; DialogShell; FieldLabel; FocusTrap; FormLayout; LifecycleBanner; PageLayout; PeoplePicker; PermissionState; RecurrenceEditor; ReminderEditor; SurfaceTitle; TaskRow; TaskStatusControl; UrgencyIndicator; ValidationMessage</x:v>
      </x:c>
      <x:c r="H25" s="23" t="str">
        <x:v>dirty; validation; conflict; archived; trashed; field forbidden</x:v>
      </x:c>
      <x:c r="I25" s="23" t="str">
        <x:v>VIS-001</x:v>
      </x:c>
      <x:c r="J25" s="23" t="str">
        <x:v>Mapped</x:v>
      </x:c>
      <x:c r="K25" s="23" t="str">
        <x:v>Hi-fi frame + state set + keyboard walkthrough</x:v>
      </x:c>
      <x:c r="L25" s="26" t="str">
        <x:v>Visual evidence pending</x:v>
      </x:c>
    </x:row>
    <x:row r="26">
      <x:c r="A26" s="73" t="str">
        <x:v>SCR-024</x:v>
      </x:c>
      <x:c r="B26" s="23" t="str">
        <x:v>Tasks</x:v>
      </x:c>
      <x:c r="C26" s="23" t="str">
        <x:v>Карточка задачи</x:v>
      </x:c>
      <x:c r="D26" s="23" t="str">
        <x:v>page</x:v>
      </x:c>
      <x:c r="E26" s="23" t="str">
        <x:v>Page</x:v>
      </x:c>
      <x:c r="F26" s="23" t="str">
        <x:v>P0</x:v>
      </x:c>
      <x:c r="G26" s="23" t="str">
        <x:v>CommentThread; ConflictNotice; ConnectivityBanner; DataList; FileLocationView; InspectorPanel; LifecycleBanner; LoadingState; PageLayout; PeoplePicker; PermissionState; ProgressIndicator; ReadOnlyBanner; RecurrenceEditor; ReminderEditor; RetryAction; SearchBox; SurfaceTitle; TaskRow; TaskStatusControl; TimelineHistory; UrgencyIndicator</x:v>
      </x:c>
      <x:c r="H26" s="23" t="str">
        <x:v>loading; stale; partial; archived; trashed; unavailable</x:v>
      </x:c>
      <x:c r="I26" s="23" t="str">
        <x:v>VIS-001</x:v>
      </x:c>
      <x:c r="J26" s="23" t="str">
        <x:v>Mapped</x:v>
      </x:c>
      <x:c r="K26" s="23" t="str">
        <x:v>Hi-fi frame + state set + keyboard walkthrough</x:v>
      </x:c>
      <x:c r="L26" s="26" t="str">
        <x:v>Visual evidence pending</x:v>
      </x:c>
    </x:row>
    <x:row r="27">
      <x:c r="A27" s="73" t="str">
        <x:v>SCR-025</x:v>
      </x:c>
      <x:c r="B27" s="23" t="str">
        <x:v>Tasks</x:v>
      </x:c>
      <x:c r="C27" s="23" t="str">
        <x:v>Инспектор задачи</x:v>
      </x:c>
      <x:c r="D27" s="23" t="str">
        <x:v>side panel</x:v>
      </x:c>
      <x:c r="E27" s="23" t="str">
        <x:v>Details inspector</x:v>
      </x:c>
      <x:c r="F27" s="23" t="str">
        <x:v>P0</x:v>
      </x:c>
      <x:c r="G27" s="23" t="str">
        <x:v>ConflictNotice; ConnectivityBanner; ErrorMessage; InspectorPanel; PeoplePicker; ReadOnlyBanner; RecurrenceEditor; ReminderEditor; RetryAction; SemanticStatus; SurfaceTitle; TaskRow; TaskStatusControl; UrgencyIndicator</x:v>
      </x:c>
      <x:c r="H27" s="23" t="str">
        <x:v>stale; offline; partial</x:v>
      </x:c>
      <x:c r="I27" s="23" t="str">
        <x:v>VIS-001</x:v>
      </x:c>
      <x:c r="J27" s="23" t="str">
        <x:v>Mapped</x:v>
      </x:c>
      <x:c r="K27" s="23" t="str">
        <x:v>Hi-fi frame + state set + keyboard walkthrough</x:v>
      </x:c>
      <x:c r="L27" s="26" t="str">
        <x:v>Visual evidence pending</x:v>
      </x:c>
    </x:row>
    <x:row r="28">
      <x:c r="A28" s="73" t="str">
        <x:v>SCR-026</x:v>
      </x:c>
      <x:c r="B28" s="23" t="str">
        <x:v>Tasks</x:v>
      </x:c>
      <x:c r="C28" s="23" t="str">
        <x:v>Редактор recurrence</x:v>
      </x:c>
      <x:c r="D28" s="23" t="str">
        <x:v>dialog</x:v>
      </x:c>
      <x:c r="E28" s="23" t="str">
        <x:v>Modal dialog</x:v>
      </x:c>
      <x:c r="F28" s="23" t="str">
        <x:v>P0</x:v>
      </x:c>
      <x:c r="G28" s="23" t="str">
        <x:v>ConflictNotice; DateTimePicker; DialogShell; ErrorMessage; FieldLabel; FocusTrap; FormLayout; PeoplePicker; RecurrenceEditor; ReminderEditor; SurfaceTitle; TaskRow; TaskStatusControl; UrgencyIndicator; ValidationMessage</x:v>
      </x:c>
      <x:c r="H28" s="23" t="str">
        <x:v>invalid rule; DST; conflict</x:v>
      </x:c>
      <x:c r="I28" s="23" t="str">
        <x:v>VIS-001</x:v>
      </x:c>
      <x:c r="J28" s="23" t="str">
        <x:v>Mapped</x:v>
      </x:c>
      <x:c r="K28" s="23" t="str">
        <x:v>Hi-fi frame + state set + keyboard walkthrough</x:v>
      </x:c>
      <x:c r="L28" s="26" t="str">
        <x:v>Visual evidence pending</x:v>
      </x:c>
    </x:row>
    <x:row r="29">
      <x:c r="A29" s="73" t="str">
        <x:v>SCR-027</x:v>
      </x:c>
      <x:c r="B29" s="23" t="str">
        <x:v>Tasks</x:v>
      </x:c>
      <x:c r="C29" s="23" t="str">
        <x:v>Scope изменения серии</x:v>
      </x:c>
      <x:c r="D29" s="23" t="str">
        <x:v>dialog</x:v>
      </x:c>
      <x:c r="E29" s="23" t="str">
        <x:v>Modal dialog</x:v>
      </x:c>
      <x:c r="F29" s="23" t="str">
        <x:v>P0</x:v>
      </x:c>
      <x:c r="G29" s="23" t="str">
        <x:v>ConflictNotice; DialogShell; FieldLabel; FocusTrap; FormLayout; LoadingState; PeoplePicker; ProgressIndicator; RecurrenceEditor; ReminderEditor; SurfaceTitle; TaskRow; TaskStatusControl; UrgencyIndicator; ValidationMessage</x:v>
      </x:c>
      <x:c r="H29" s="23" t="str">
        <x:v>conflict; occurrence exists; background apply</x:v>
      </x:c>
      <x:c r="I29" s="23" t="str">
        <x:v>VIS-001</x:v>
      </x:c>
      <x:c r="J29" s="23" t="str">
        <x:v>Mapped</x:v>
      </x:c>
      <x:c r="K29" s="23" t="str">
        <x:v>Hi-fi frame + state set + keyboard walkthrough</x:v>
      </x:c>
      <x:c r="L29" s="26" t="str">
        <x:v>Visual evidence pending</x:v>
      </x:c>
    </x:row>
    <x:row r="30">
      <x:c r="A30" s="73" t="str">
        <x:v>SCR-028</x:v>
      </x:c>
      <x:c r="B30" s="23" t="str">
        <x:v>Tasks</x:v>
      </x:c>
      <x:c r="C30" s="23" t="str">
        <x:v>Напоминания</x:v>
      </x:c>
      <x:c r="D30" s="23" t="str">
        <x:v>dialog/panel</x:v>
      </x:c>
      <x:c r="E30" s="23" t="str">
        <x:v>Panel</x:v>
      </x:c>
      <x:c r="F30" s="23" t="str">
        <x:v>P0</x:v>
      </x:c>
      <x:c r="G30" s="23" t="str">
        <x:v>ConnectivityBanner; DialogShell; ErrorMessage; FocusTrap; InspectorPanel; PeoplePicker; PermissionState; ReadOnlyBanner; RecurrenceEditor; ReminderEditor; RetryAction; SurfaceTitle; TaskRow; TaskStatusControl; UrgencyIndicator</x:v>
      </x:c>
      <x:c r="H30" s="23" t="str">
        <x:v>invalid time; offline; target unavailable</x:v>
      </x:c>
      <x:c r="I30" s="23" t="str">
        <x:v>VIS-001</x:v>
      </x:c>
      <x:c r="J30" s="23" t="str">
        <x:v>Mapped</x:v>
      </x:c>
      <x:c r="K30" s="23" t="str">
        <x:v>Hi-fi frame + state set + keyboard walkthrough</x:v>
      </x:c>
      <x:c r="L30" s="26" t="str">
        <x:v>Visual evidence pending</x:v>
      </x:c>
    </x:row>
    <x:row r="31">
      <x:c r="A31" s="73" t="str">
        <x:v>SCR-029</x:v>
      </x:c>
      <x:c r="B31" s="23" t="str">
        <x:v>Tasks</x:v>
      </x:c>
      <x:c r="C31" s="23" t="str">
        <x:v>Исполнители и наблюдатели</x:v>
      </x:c>
      <x:c r="D31" s="23" t="str">
        <x:v>dialog</x:v>
      </x:c>
      <x:c r="E31" s="23" t="str">
        <x:v>Modal dialog</x:v>
      </x:c>
      <x:c r="F31" s="23" t="str">
        <x:v>P0</x:v>
      </x:c>
      <x:c r="G31" s="23" t="str">
        <x:v>ConflictNotice; DateTimePicker; DialogShell; FieldLabel; FocusTrap; FormLayout; PeoplePicker; PermissionState; RecurrenceEditor; ReminderEditor; SearchBox; SurfaceTitle; TaskRow; TaskStatusControl; UrgencyIndicator; ValidationMessage</x:v>
      </x:c>
      <x:c r="H31" s="23" t="str">
        <x:v>partial directory; inactive user; conflict</x:v>
      </x:c>
      <x:c r="I31" s="23" t="str">
        <x:v>VIS-001</x:v>
      </x:c>
      <x:c r="J31" s="23" t="str">
        <x:v>Mapped</x:v>
      </x:c>
      <x:c r="K31" s="23" t="str">
        <x:v>Hi-fi frame + state set + keyboard walkthrough</x:v>
      </x:c>
      <x:c r="L31" s="26" t="str">
        <x:v>Visual evidence pending</x:v>
      </x:c>
    </x:row>
    <x:row r="32">
      <x:c r="A32" s="73" t="str">
        <x:v>SCR-030</x:v>
      </x:c>
      <x:c r="B32" s="23" t="str">
        <x:v>Tasks</x:v>
      </x:c>
      <x:c r="C32" s="23" t="str">
        <x:v>Зависимости задач</x:v>
      </x:c>
      <x:c r="D32" s="23" t="str">
        <x:v>panel/dialog</x:v>
      </x:c>
      <x:c r="E32" s="23" t="str">
        <x:v>Panel</x:v>
      </x:c>
      <x:c r="F32" s="23" t="str">
        <x:v>P0</x:v>
      </x:c>
      <x:c r="G32" s="23" t="str">
        <x:v>ConflictNotice; DateTimePicker; DialogShell; FieldLabel; FocusTrap; FormLayout; InspectorPanel; PeoplePicker; PermissionState; RecurrenceEditor; ReminderEditor; SurfaceTitle; TaskRow; TaskStatusControl; UrgencyIndicator; ValidationMessage</x:v>
      </x:c>
      <x:c r="H32" s="23" t="str">
        <x:v>cycle; hidden target; conflict</x:v>
      </x:c>
      <x:c r="I32" s="23" t="str">
        <x:v>VIS-001</x:v>
      </x:c>
      <x:c r="J32" s="23" t="str">
        <x:v>Mapped</x:v>
      </x:c>
      <x:c r="K32" s="23" t="str">
        <x:v>Hi-fi frame + state set + keyboard walkthrough</x:v>
      </x:c>
      <x:c r="L32" s="26" t="str">
        <x:v>Visual evidence pending</x:v>
      </x:c>
    </x:row>
    <x:row r="33">
      <x:c r="A33" s="73" t="str">
        <x:v>SCR-031</x:v>
      </x:c>
      <x:c r="B33" s="23" t="str">
        <x:v>Tasks</x:v>
      </x:c>
      <x:c r="C33" s="23" t="str">
        <x:v>Массовые действия задач</x:v>
      </x:c>
      <x:c r="D33" s="23" t="str">
        <x:v>action bar</x:v>
      </x:c>
      <x:c r="E33" s="23" t="str">
        <x:v>Selection action bar</x:v>
      </x:c>
      <x:c r="F33" s="23" t="str">
        <x:v>P0</x:v>
      </x:c>
      <x:c r="G33" s="23" t="str">
        <x:v>BulkResultSummary; ConflictNotice; ErrorMessage; PeoplePicker; RecurrenceEditor; ReminderEditor; SelectionBar; SemanticStatus; SurfaceTitle; TaskRow; TaskStatusControl; UrgencyIndicator</x:v>
      </x:c>
      <x:c r="H33" s="23" t="str">
        <x:v>mixed state; request too large; stale selection</x:v>
      </x:c>
      <x:c r="I33" s="23" t="str">
        <x:v>VIS-001</x:v>
      </x:c>
      <x:c r="J33" s="23" t="str">
        <x:v>Mapped</x:v>
      </x:c>
      <x:c r="K33" s="23" t="str">
        <x:v>Hi-fi frame + state set + keyboard walkthrough</x:v>
      </x:c>
      <x:c r="L33" s="26" t="str">
        <x:v>Visual evidence pending</x:v>
      </x:c>
    </x:row>
    <x:row r="34">
      <x:c r="A34" s="73" t="str">
        <x:v>SCR-032</x:v>
      </x:c>
      <x:c r="B34" s="23" t="str">
        <x:v>Tasks</x:v>
      </x:c>
      <x:c r="C34" s="23" t="str">
        <x:v>Разрешение конфликта Task</x:v>
      </x:c>
      <x:c r="D34" s="23" t="str">
        <x:v>dialog/page</x:v>
      </x:c>
      <x:c r="E34" s="23" t="str">
        <x:v>Modal dialog</x:v>
      </x:c>
      <x:c r="F34" s="23" t="str">
        <x:v>P0</x:v>
      </x:c>
      <x:c r="G34" s="23" t="str">
        <x:v>ConflictNotice; DialogShell; FieldLabel; FocusTrap; FormLayout; LifecycleBanner; PageLayout; PeoplePicker; RecurrenceEditor; ReminderEditor; SurfaceTitle; TaskRow; TaskStatusControl; UrgencyIndicator; ValidationMessage</x:v>
      </x:c>
      <x:c r="H34" s="23" t="str">
        <x:v>same field; different fields; deleted/completed/archived</x:v>
      </x:c>
      <x:c r="I34" s="23" t="str">
        <x:v>VIS-001</x:v>
      </x:c>
      <x:c r="J34" s="23" t="str">
        <x:v>Mapped</x:v>
      </x:c>
      <x:c r="K34" s="23" t="str">
        <x:v>Hi-fi frame + state set + keyboard walkthrough</x:v>
      </x:c>
      <x:c r="L34" s="26" t="str">
        <x:v>Visual evidence pending</x:v>
      </x:c>
    </x:row>
    <x:row r="35">
      <x:c r="A35" s="73" t="str">
        <x:v>SCR-033</x:v>
      </x:c>
      <x:c r="B35" s="23" t="str">
        <x:v>Tasks</x:v>
      </x:c>
      <x:c r="C35" s="23" t="str">
        <x:v>Подзадачи и чек-листы</x:v>
      </x:c>
      <x:c r="D35" s="23" t="str">
        <x:v>tab/panel</x:v>
      </x:c>
      <x:c r="E35" s="23" t="str">
        <x:v>Panel</x:v>
      </x:c>
      <x:c r="F35" s="23" t="str">
        <x:v>P0</x:v>
      </x:c>
      <x:c r="G35" s="23" t="str">
        <x:v>ConflictNotice; ConnectivityBanner; FieldLabel; FormLayout; InspectorPanel; PeoplePicker; ReadOnlyBanner; RecurrenceEditor; ReminderEditor; RetryAction; SurfaceTitle; TaskRow; TaskStatusControl; UrgencyIndicator; ValidationMessage</x:v>
      </x:c>
      <x:c r="H35" s="23" t="str">
        <x:v>depth exceeded; conflict; offline</x:v>
      </x:c>
      <x:c r="I35" s="23" t="str">
        <x:v>VIS-001</x:v>
      </x:c>
      <x:c r="J35" s="23" t="str">
        <x:v>Mapped</x:v>
      </x:c>
      <x:c r="K35" s="23" t="str">
        <x:v>Hi-fi frame + state set + keyboard walkthrough</x:v>
      </x:c>
      <x:c r="L35" s="26" t="str">
        <x:v>Visual evidence pending</x:v>
      </x:c>
    </x:row>
    <x:row r="36">
      <x:c r="A36" s="73" t="str">
        <x:v>SCR-034</x:v>
      </x:c>
      <x:c r="B36" s="23" t="str">
        <x:v>Tasks</x:v>
      </x:c>
      <x:c r="C36" s="23" t="str">
        <x:v>Контекстное меню задачи</x:v>
      </x:c>
      <x:c r="D36" s="23" t="str">
        <x:v>context menu</x:v>
      </x:c>
      <x:c r="E36" s="23" t="str">
        <x:v>Context menu</x:v>
      </x:c>
      <x:c r="F36" s="23" t="str">
        <x:v>P0</x:v>
      </x:c>
      <x:c r="G36" s="23" t="str">
        <x:v>ContextMenu; LifecycleBanner; PeoplePicker; PermissionState; RecurrenceEditor; ReminderEditor; SemanticStatus; SurfaceTitle; TaskRow; TaskStatusControl; UrgencyIndicator</x:v>
      </x:c>
      <x:c r="H36" s="23" t="str">
        <x:v>disabled for temporary state; mixed selection</x:v>
      </x:c>
      <x:c r="I36" s="23" t="str">
        <x:v>VIS-001</x:v>
      </x:c>
      <x:c r="J36" s="23" t="str">
        <x:v>Mapped</x:v>
      </x:c>
      <x:c r="K36" s="23" t="str">
        <x:v>Hi-fi frame + state set + keyboard walkthrough</x:v>
      </x:c>
      <x:c r="L36" s="26" t="str">
        <x:v>Visual evidence pending</x:v>
      </x:c>
    </x:row>
    <x:row r="37">
      <x:c r="A37" s="73" t="str">
        <x:v>SCR-035</x:v>
      </x:c>
      <x:c r="B37" s="23" t="str">
        <x:v>Tasks</x:v>
      </x:c>
      <x:c r="C37" s="23" t="str">
        <x:v>Комментарии объекта</x:v>
      </x:c>
      <x:c r="D37" s="23" t="str">
        <x:v>tab/panel</x:v>
      </x:c>
      <x:c r="E37" s="23" t="str">
        <x:v>Panel</x:v>
      </x:c>
      <x:c r="F37" s="23" t="str">
        <x:v>P0</x:v>
      </x:c>
      <x:c r="G37" s="23" t="str">
        <x:v>CommentThread; ConflictNotice; ConnectivityBanner; InspectorPanel; LoadingState; PeoplePicker; PermissionState; ProgressIndicator; ReadOnlyBanner; RecurrenceEditor; ReminderEditor; RetryAction; SurfaceTitle; TaskRow; TaskStatusControl; UrgencyIndicator</x:v>
      </x:c>
      <x:c r="H37" s="23" t="str">
        <x:v>loading; tombstone; permission revoked; offline</x:v>
      </x:c>
      <x:c r="I37" s="23" t="str">
        <x:v>VIS-001</x:v>
      </x:c>
      <x:c r="J37" s="23" t="str">
        <x:v>Mapped</x:v>
      </x:c>
      <x:c r="K37" s="23" t="str">
        <x:v>Hi-fi frame + state set + keyboard walkthrough</x:v>
      </x:c>
      <x:c r="L37" s="26" t="str">
        <x:v>Visual evidence pending</x:v>
      </x:c>
    </x:row>
    <x:row r="38">
      <x:c r="A38" s="73" t="str">
        <x:v>SCR-036</x:v>
      </x:c>
      <x:c r="B38" s="23" t="str">
        <x:v>Tasks</x:v>
      </x:c>
      <x:c r="C38" s="23" t="str">
        <x:v>История объекта</x:v>
      </x:c>
      <x:c r="D38" s="23" t="str">
        <x:v>tab/panel</x:v>
      </x:c>
      <x:c r="E38" s="23" t="str">
        <x:v>Panel</x:v>
      </x:c>
      <x:c r="F38" s="23" t="str">
        <x:v>P0</x:v>
      </x:c>
      <x:c r="G38" s="23" t="str">
        <x:v>DateTimePicker; InspectorPanel; PeoplePicker; PermissionState; RecurrenceEditor; RedactionMarker; ReminderEditor; SurfaceTitle; TaskRow; TaskStatusControl; TimelineHistory; UrgencyIndicator</x:v>
      </x:c>
      <x:c r="H38" s="23" t="str">
        <x:v>redaction; access revoked</x:v>
      </x:c>
      <x:c r="I38" s="23" t="str">
        <x:v>VIS-001</x:v>
      </x:c>
      <x:c r="J38" s="23" t="str">
        <x:v>Mapped</x:v>
      </x:c>
      <x:c r="K38" s="23" t="str">
        <x:v>Hi-fi frame + state set + keyboard walkthrough</x:v>
      </x:c>
      <x:c r="L38" s="26" t="str">
        <x:v>Visual evidence pending</x:v>
      </x:c>
    </x:row>
    <x:row r="39">
      <x:c r="A39" s="73" t="str">
        <x:v>SCR-040</x:v>
      </x:c>
      <x:c r="B39" s="23" t="str">
        <x:v>Calendar</x:v>
      </x:c>
      <x:c r="C39" s="23" t="str">
        <x:v>Календарь</x:v>
      </x:c>
      <x:c r="D39" s="23" t="str">
        <x:v>page</x:v>
      </x:c>
      <x:c r="E39" s="23" t="str">
        <x:v>Page</x:v>
      </x:c>
      <x:c r="F39" s="23" t="str">
        <x:v>P1</x:v>
      </x:c>
      <x:c r="G39" s="23" t="str">
        <x:v>ConnectivityBanner; DateTimePicker; EmptyState; FieldLabel; FilterBar; FormLayout; LoadingState; PageLayout; ProgressIndicator; ProjectPicker; ReadOnlyBanner; RetryAction; SurfaceTitle; TaskRow; TaskStatusControl; UrgencyIndicator; ValidationMessage</x:v>
      </x:c>
      <x:c r="H39" s="23" t="str">
        <x:v>range loading; empty; offline; partial; timezone</x:v>
      </x:c>
      <x:c r="I39" s="23" t="str">
        <x:v>VIS-001</x:v>
      </x:c>
      <x:c r="J39" s="23" t="str">
        <x:v>Mapped</x:v>
      </x:c>
      <x:c r="K39" s="23" t="str">
        <x:v>Pattern/component specification + state set</x:v>
      </x:c>
      <x:c r="L39" s="26" t="str">
        <x:v>Visual evidence pending</x:v>
      </x:c>
    </x:row>
    <x:row r="40">
      <x:c r="A40" s="73" t="str">
        <x:v>SCR-041</x:v>
      </x:c>
      <x:c r="B40" s="23" t="str">
        <x:v>Calendar</x:v>
      </x:c>
      <x:c r="C40" s="23" t="str">
        <x:v>Календарь: день</x:v>
      </x:c>
      <x:c r="D40" s="23" t="str">
        <x:v>tab/view</x:v>
      </x:c>
      <x:c r="E40" s="23" t="str">
        <x:v>Tab workspace</x:v>
      </x:c>
      <x:c r="F40" s="23" t="str">
        <x:v>P1</x:v>
      </x:c>
      <x:c r="G40" s="23" t="str">
        <x:v>ConflictNotice; ConnectivityBanner; DateTimePicker; FieldLabel; FormLayout; PermissionState; ReadOnlyBanner; RetryAction; SurfaceTitle; TaskRow; TaskStatusControl; UrgencyIndicator; ValidationMessage</x:v>
      </x:c>
      <x:c r="H40" s="23" t="str">
        <x:v>overlap; current time; offline</x:v>
      </x:c>
      <x:c r="I40" s="23" t="str">
        <x:v>VIS-001</x:v>
      </x:c>
      <x:c r="J40" s="23" t="str">
        <x:v>Mapped</x:v>
      </x:c>
      <x:c r="K40" s="23" t="str">
        <x:v>Pattern/component specification + state set</x:v>
      </x:c>
      <x:c r="L40" s="26" t="str">
        <x:v>Visual evidence pending</x:v>
      </x:c>
    </x:row>
    <x:row r="41">
      <x:c r="A41" s="73" t="str">
        <x:v>SCR-042</x:v>
      </x:c>
      <x:c r="B41" s="23" t="str">
        <x:v>Calendar</x:v>
      </x:c>
      <x:c r="C41" s="23" t="str">
        <x:v>Календарь: неделя</x:v>
      </x:c>
      <x:c r="D41" s="23" t="str">
        <x:v>tab/view</x:v>
      </x:c>
      <x:c r="E41" s="23" t="str">
        <x:v>Tab workspace</x:v>
      </x:c>
      <x:c r="F41" s="23" t="str">
        <x:v>P1</x:v>
      </x:c>
      <x:c r="G41" s="23" t="str">
        <x:v>DateTimePicker; FilterBar; PeoplePicker; SurfaceTitle; TaskRow; TaskStatusControl; UrgencyIndicator</x:v>
      </x:c>
      <x:c r="H41" s="23" t="str">
        <x:v>dense overlap; partial scope</x:v>
      </x:c>
      <x:c r="I41" s="23" t="str">
        <x:v>VIS-001</x:v>
      </x:c>
      <x:c r="J41" s="23" t="str">
        <x:v>Mapped</x:v>
      </x:c>
      <x:c r="K41" s="23" t="str">
        <x:v>Pattern/component specification + state set</x:v>
      </x:c>
      <x:c r="L41" s="26" t="str">
        <x:v>Visual evidence pending</x:v>
      </x:c>
    </x:row>
    <x:row r="42">
      <x:c r="A42" s="73" t="str">
        <x:v>SCR-043</x:v>
      </x:c>
      <x:c r="B42" s="23" t="str">
        <x:v>Calendar</x:v>
      </x:c>
      <x:c r="C42" s="23" t="str">
        <x:v>Календарь: месяц</x:v>
      </x:c>
      <x:c r="D42" s="23" t="str">
        <x:v>tab/view</x:v>
      </x:c>
      <x:c r="E42" s="23" t="str">
        <x:v>Tab workspace</x:v>
      </x:c>
      <x:c r="F42" s="23" t="str">
        <x:v>P1</x:v>
      </x:c>
      <x:c r="G42" s="23" t="str">
        <x:v>ConnectivityBanner; DateTimePicker; ReadOnlyBanner; RetryAction; SurfaceTitle; TaskRow; TaskStatusControl; UrgencyIndicator</x:v>
      </x:c>
      <x:c r="H42" s="23" t="str">
        <x:v>overflow +N; offline</x:v>
      </x:c>
      <x:c r="I42" s="23" t="str">
        <x:v>VIS-001</x:v>
      </x:c>
      <x:c r="J42" s="23" t="str">
        <x:v>Mapped</x:v>
      </x:c>
      <x:c r="K42" s="23" t="str">
        <x:v>Pattern/component specification + state set</x:v>
      </x:c>
      <x:c r="L42" s="26" t="str">
        <x:v>Visual evidence pending</x:v>
      </x:c>
    </x:row>
    <x:row r="43">
      <x:c r="A43" s="73" t="str">
        <x:v>SCR-044</x:v>
      </x:c>
      <x:c r="B43" s="23" t="str">
        <x:v>Calendar</x:v>
      </x:c>
      <x:c r="C43" s="23" t="str">
        <x:v>Редактор CalendarEvent</x:v>
      </x:c>
      <x:c r="D43" s="23" t="str">
        <x:v>page/dialog</x:v>
      </x:c>
      <x:c r="E43" s="23" t="str">
        <x:v>Modal dialog</x:v>
      </x:c>
      <x:c r="F43" s="23" t="str">
        <x:v>P1</x:v>
      </x:c>
      <x:c r="G43" s="23" t="str">
        <x:v>ConflictNotice; DateTimePicker; DialogShell; ErrorMessage; FieldLabel; FocusTrap; FormLayout; LifecycleBanner; PageLayout; SemanticStatus; SurfaceTitle; TaskRow; TaskStatusControl; UrgencyIndicator; ValidationMessage</x:v>
      </x:c>
      <x:c r="H43" s="23" t="str">
        <x:v>validation; conflict; archived/trashed</x:v>
      </x:c>
      <x:c r="I43" s="23" t="str">
        <x:v>VIS-001</x:v>
      </x:c>
      <x:c r="J43" s="23" t="str">
        <x:v>Mapped</x:v>
      </x:c>
      <x:c r="K43" s="23" t="str">
        <x:v>Pattern/component specification + state set</x:v>
      </x:c>
      <x:c r="L43" s="26" t="str">
        <x:v>Visual evidence pending</x:v>
      </x:c>
    </x:row>
    <x:row r="44">
      <x:c r="A44" s="73" t="str">
        <x:v>SCR-045</x:v>
      </x:c>
      <x:c r="B44" s="23" t="str">
        <x:v>Calendar</x:v>
      </x:c>
      <x:c r="C44" s="23" t="str">
        <x:v>Фильтры календаря</x:v>
      </x:c>
      <x:c r="D44" s="23" t="str">
        <x:v>panel</x:v>
      </x:c>
      <x:c r="E44" s="23" t="str">
        <x:v>Panel</x:v>
      </x:c>
      <x:c r="F44" s="23" t="str">
        <x:v>P1</x:v>
      </x:c>
      <x:c r="G44" s="23" t="str">
        <x:v>DateTimePicker; EmptyState; FieldLabel; FilterBar; FormLayout; InspectorPanel; PermissionState; ProjectPicker; SemanticStatus; SurfaceTitle; TaskRow; TaskStatusControl; UrgencyIndicator; ValidationMessage</x:v>
      </x:c>
      <x:c r="H44" s="23" t="str">
        <x:v>partial scope; empty</x:v>
      </x:c>
      <x:c r="I44" s="23" t="str">
        <x:v>VIS-001</x:v>
      </x:c>
      <x:c r="J44" s="23" t="str">
        <x:v>Mapped</x:v>
      </x:c>
      <x:c r="K44" s="23" t="str">
        <x:v>Pattern/component specification + state set</x:v>
      </x:c>
      <x:c r="L44" s="26" t="str">
        <x:v>Visual evidence pending</x:v>
      </x:c>
    </x:row>
    <x:row r="45">
      <x:c r="A45" s="73" t="str">
        <x:v>SCR-046</x:v>
      </x:c>
      <x:c r="B45" s="23" t="str">
        <x:v>Calendar</x:v>
      </x:c>
      <x:c r="C45" s="23" t="str">
        <x:v>Предупреждение overlap</x:v>
      </x:c>
      <x:c r="D45" s="23" t="str">
        <x:v>inline/dialog</x:v>
      </x:c>
      <x:c r="E45" s="23" t="str">
        <x:v>Modal dialog</x:v>
      </x:c>
      <x:c r="F45" s="23" t="str">
        <x:v>P1</x:v>
      </x:c>
      <x:c r="G45" s="23" t="str">
        <x:v>ConflictNotice; DateTimePicker; DialogShell; FocusTrap; SurfaceTitle; TaskRow; TaskStatusControl; UrgencyIndicator</x:v>
      </x:c>
      <x:c r="H45" s="23" t="str">
        <x:v>partial visibility; race conflict</x:v>
      </x:c>
      <x:c r="I45" s="23" t="str">
        <x:v>VIS-001</x:v>
      </x:c>
      <x:c r="J45" s="23" t="str">
        <x:v>Mapped</x:v>
      </x:c>
      <x:c r="K45" s="23" t="str">
        <x:v>Pattern/component specification + state set</x:v>
      </x:c>
      <x:c r="L45" s="26" t="str">
        <x:v>Visual evidence pending</x:v>
      </x:c>
    </x:row>
    <x:row r="46">
      <x:c r="A46" s="73" t="str">
        <x:v>SCR-047</x:v>
      </x:c>
      <x:c r="B46" s="23" t="str">
        <x:v>Calendar</x:v>
      </x:c>
      <x:c r="C46" s="23" t="str">
        <x:v>Conflict после drag/resize</x:v>
      </x:c>
      <x:c r="D46" s="23" t="str">
        <x:v>dialog</x:v>
      </x:c>
      <x:c r="E46" s="23" t="str">
        <x:v>Modal dialog</x:v>
      </x:c>
      <x:c r="F46" s="23" t="str">
        <x:v>P1</x:v>
      </x:c>
      <x:c r="G46" s="23" t="str">
        <x:v>ConflictNotice; DateTimePicker; DialogShell; FieldLabel; FocusTrap; FormLayout; SurfaceTitle; TaskRow; TaskStatusControl; UrgencyIndicator; ValidationMessage</x:v>
      </x:c>
      <x:c r="H46" s="23" t="str">
        <x:v>changed/deleted/completed target</x:v>
      </x:c>
      <x:c r="I46" s="23" t="str">
        <x:v>VIS-001</x:v>
      </x:c>
      <x:c r="J46" s="23" t="str">
        <x:v>Mapped</x:v>
      </x:c>
      <x:c r="K46" s="23" t="str">
        <x:v>Pattern/component specification + state set</x:v>
      </x:c>
      <x:c r="L46" s="26" t="str">
        <x:v>Visual evidence pending</x:v>
      </x:c>
    </x:row>
    <x:row r="47">
      <x:c r="A47" s="73" t="str">
        <x:v>SCR-060</x:v>
      </x:c>
      <x:c r="B47" s="23" t="str">
        <x:v>Projects</x:v>
      </x:c>
      <x:c r="C47" s="23" t="str">
        <x:v>Проекты: список</x:v>
      </x:c>
      <x:c r="D47" s="23" t="str">
        <x:v>page</x:v>
      </x:c>
      <x:c r="E47" s="23" t="str">
        <x:v>Data list</x:v>
      </x:c>
      <x:c r="F47" s="23" t="str">
        <x:v>P1</x:v>
      </x:c>
      <x:c r="G47" s="23" t="str">
        <x:v>ConnectivityBanner; DataList; EmptyState; FieldLabel; FilterBar; FormLayout; PageLayout; PeoplePicker; PermissionState; ProjectPicker; ReadOnlyBanner; RetryAction; SurfaceTitle; ValidationMessage</x:v>
      </x:c>
      <x:c r="H47" s="23" t="str">
        <x:v>empty; filtered; partial; offline</x:v>
      </x:c>
      <x:c r="I47" s="23" t="str">
        <x:v>VIS-001</x:v>
      </x:c>
      <x:c r="J47" s="23" t="str">
        <x:v>Mapped</x:v>
      </x:c>
      <x:c r="K47" s="23" t="str">
        <x:v>Pattern/component specification + state set</x:v>
      </x:c>
      <x:c r="L47" s="26" t="str">
        <x:v>Visual evidence pending</x:v>
      </x:c>
    </x:row>
    <x:row r="48">
      <x:c r="A48" s="73" t="str">
        <x:v>SCR-061</x:v>
      </x:c>
      <x:c r="B48" s="23" t="str">
        <x:v>Projects</x:v>
      </x:c>
      <x:c r="C48" s="23" t="str">
        <x:v>Проект: обзор</x:v>
      </x:c>
      <x:c r="D48" s="23" t="str">
        <x:v>page</x:v>
      </x:c>
      <x:c r="E48" s="23" t="str">
        <x:v>Page</x:v>
      </x:c>
      <x:c r="F48" s="23" t="str">
        <x:v>P1</x:v>
      </x:c>
      <x:c r="G48" s="23" t="str">
        <x:v>LifecycleBanner; LoadingState; PageLayout; PeoplePicker; PermissionState; ProgressIndicator; ProjectPicker; SearchBox; SemanticStatus; SurfaceTitle</x:v>
      </x:c>
      <x:c r="H48" s="23" t="str">
        <x:v>loading; partial tabs; completed; archived; trashed</x:v>
      </x:c>
      <x:c r="I48" s="23" t="str">
        <x:v>VIS-001</x:v>
      </x:c>
      <x:c r="J48" s="23" t="str">
        <x:v>Mapped</x:v>
      </x:c>
      <x:c r="K48" s="23" t="str">
        <x:v>Pattern/component specification + state set</x:v>
      </x:c>
      <x:c r="L48" s="26" t="str">
        <x:v>Visual evidence pending</x:v>
      </x:c>
    </x:row>
    <x:row r="49">
      <x:c r="A49" s="73" t="str">
        <x:v>SCR-062</x:v>
      </x:c>
      <x:c r="B49" s="23" t="str">
        <x:v>Projects</x:v>
      </x:c>
      <x:c r="C49" s="23" t="str">
        <x:v>Проект: задачи</x:v>
      </x:c>
      <x:c r="D49" s="23" t="str">
        <x:v>tab</x:v>
      </x:c>
      <x:c r="E49" s="23" t="str">
        <x:v>Tab workspace</x:v>
      </x:c>
      <x:c r="F49" s="23" t="str">
        <x:v>P1</x:v>
      </x:c>
      <x:c r="G49" s="23" t="str">
        <x:v>BulkResultSummary; EmptyState; FieldLabel; FormLayout; LifecycleBanner; PeoplePicker; PermissionState; ProjectPicker; SurfaceTitle; TaskRow; TaskStatusControl; UrgencyIndicator; ValidationMessage</x:v>
      </x:c>
      <x:c r="H49" s="23" t="str">
        <x:v>empty; partial; project archived</x:v>
      </x:c>
      <x:c r="I49" s="23" t="str">
        <x:v>VIS-001</x:v>
      </x:c>
      <x:c r="J49" s="23" t="str">
        <x:v>Mapped</x:v>
      </x:c>
      <x:c r="K49" s="23" t="str">
        <x:v>Pattern/component specification + state set</x:v>
      </x:c>
      <x:c r="L49" s="26" t="str">
        <x:v>Visual evidence pending</x:v>
      </x:c>
    </x:row>
    <x:row r="50">
      <x:c r="A50" s="73" t="str">
        <x:v>SCR-063</x:v>
      </x:c>
      <x:c r="B50" s="23" t="str">
        <x:v>Projects</x:v>
      </x:c>
      <x:c r="C50" s="23" t="str">
        <x:v>Проект: календарь</x:v>
      </x:c>
      <x:c r="D50" s="23" t="str">
        <x:v>tab</x:v>
      </x:c>
      <x:c r="E50" s="23" t="str">
        <x:v>Tab workspace</x:v>
      </x:c>
      <x:c r="F50" s="23" t="str">
        <x:v>P1</x:v>
      </x:c>
      <x:c r="G50" s="23" t="str">
        <x:v>ConnectivityBanner; DateTimePicker; FieldLabel; FormLayout; PeoplePicker; PermissionState; ProjectPicker; ReadOnlyBanner; RetryAction; SurfaceTitle; ValidationMessage</x:v>
      </x:c>
      <x:c r="H50" s="23" t="str">
        <x:v>offline; partial</x:v>
      </x:c>
      <x:c r="I50" s="23" t="str">
        <x:v>VIS-001</x:v>
      </x:c>
      <x:c r="J50" s="23" t="str">
        <x:v>Mapped</x:v>
      </x:c>
      <x:c r="K50" s="23" t="str">
        <x:v>Pattern/component specification + state set</x:v>
      </x:c>
      <x:c r="L50" s="26" t="str">
        <x:v>Visual evidence pending</x:v>
      </x:c>
    </x:row>
    <x:row r="51">
      <x:c r="A51" s="73" t="str">
        <x:v>SCR-064</x:v>
      </x:c>
      <x:c r="B51" s="23" t="str">
        <x:v>Projects</x:v>
      </x:c>
      <x:c r="C51" s="23" t="str">
        <x:v>Проект: участники</x:v>
      </x:c>
      <x:c r="D51" s="23" t="str">
        <x:v>tab/page</x:v>
      </x:c>
      <x:c r="E51" s="23" t="str">
        <x:v>Tab workspace</x:v>
      </x:c>
      <x:c r="F51" s="23" t="str">
        <x:v>P1</x:v>
      </x:c>
      <x:c r="G51" s="23" t="str">
        <x:v>ConflictNotice; PageLayout; PeoplePicker; PermissionState; ProjectPicker; SurfaceTitle</x:v>
      </x:c>
      <x:c r="H51" s="23" t="str">
        <x:v>owner invariant; duplicate; scope changed</x:v>
      </x:c>
      <x:c r="I51" s="23" t="str">
        <x:v>VIS-001</x:v>
      </x:c>
      <x:c r="J51" s="23" t="str">
        <x:v>Mapped</x:v>
      </x:c>
      <x:c r="K51" s="23" t="str">
        <x:v>Pattern/component specification + state set</x:v>
      </x:c>
      <x:c r="L51" s="26" t="str">
        <x:v>Visual evidence pending</x:v>
      </x:c>
    </x:row>
    <x:row r="52">
      <x:c r="A52" s="73" t="str">
        <x:v>SCR-065</x:v>
      </x:c>
      <x:c r="B52" s="23" t="str">
        <x:v>Projects</x:v>
      </x:c>
      <x:c r="C52" s="23" t="str">
        <x:v>Проект: файлы</x:v>
      </x:c>
      <x:c r="D52" s="23" t="str">
        <x:v>tab</x:v>
      </x:c>
      <x:c r="E52" s="23" t="str">
        <x:v>Tab workspace</x:v>
      </x:c>
      <x:c r="F52" s="23" t="str">
        <x:v>P1</x:v>
      </x:c>
      <x:c r="G52" s="23" t="str">
        <x:v>ConnectivityBanner; FieldLabel; FileLocationView; FormLayout; PeoplePicker; PermissionState; ProjectPicker; ReadOnlyBanner; RetryAction; SurfaceTitle; ValidationMessage</x:v>
      </x:c>
      <x:c r="H52" s="23" t="str">
        <x:v>partial path; file unavailable</x:v>
      </x:c>
      <x:c r="I52" s="23" t="str">
        <x:v>VIS-001</x:v>
      </x:c>
      <x:c r="J52" s="23" t="str">
        <x:v>Mapped</x:v>
      </x:c>
      <x:c r="K52" s="23" t="str">
        <x:v>Pattern/component specification + state set</x:v>
      </x:c>
      <x:c r="L52" s="26" t="str">
        <x:v>Visual evidence pending</x:v>
      </x:c>
    </x:row>
    <x:row r="53">
      <x:c r="A53" s="73" t="str">
        <x:v>SCR-066</x:v>
      </x:c>
      <x:c r="B53" s="23" t="str">
        <x:v>Projects</x:v>
      </x:c>
      <x:c r="C53" s="23" t="str">
        <x:v>Проект: контакты</x:v>
      </x:c>
      <x:c r="D53" s="23" t="str">
        <x:v>tab</x:v>
      </x:c>
      <x:c r="E53" s="23" t="str">
        <x:v>Tab workspace</x:v>
      </x:c>
      <x:c r="F53" s="23" t="str">
        <x:v>P1</x:v>
      </x:c>
      <x:c r="G53" s="23" t="str">
        <x:v>PeoplePicker; PermissionState; ProjectPicker; RedactionMarker; SurfaceTitle</x:v>
      </x:c>
      <x:c r="H53" s="23" t="str">
        <x:v>partial access</x:v>
      </x:c>
      <x:c r="I53" s="23" t="str">
        <x:v>VIS-001</x:v>
      </x:c>
      <x:c r="J53" s="23" t="str">
        <x:v>Mapped</x:v>
      </x:c>
      <x:c r="K53" s="23" t="str">
        <x:v>Pattern/component specification + state set</x:v>
      </x:c>
      <x:c r="L53" s="26" t="str">
        <x:v>Visual evidence pending</x:v>
      </x:c>
    </x:row>
    <x:row r="54">
      <x:c r="A54" s="73" t="str">
        <x:v>SCR-067</x:v>
      </x:c>
      <x:c r="B54" s="23" t="str">
        <x:v>Projects</x:v>
      </x:c>
      <x:c r="C54" s="23" t="str">
        <x:v>Проект: комментарии</x:v>
      </x:c>
      <x:c r="D54" s="23" t="str">
        <x:v>tab</x:v>
      </x:c>
      <x:c r="E54" s="23" t="str">
        <x:v>Tab workspace</x:v>
      </x:c>
      <x:c r="F54" s="23" t="str">
        <x:v>P1</x:v>
      </x:c>
      <x:c r="G54" s="23" t="str">
        <x:v>CommentThread; ConnectivityBanner; PeoplePicker; PermissionState; ProjectPicker; ReadOnlyBanner; RetryAction; SurfaceTitle</x:v>
      </x:c>
      <x:c r="H54" s="23" t="str">
        <x:v>offline; permission change</x:v>
      </x:c>
      <x:c r="I54" s="23" t="str">
        <x:v>VIS-001</x:v>
      </x:c>
      <x:c r="J54" s="23" t="str">
        <x:v>Mapped</x:v>
      </x:c>
      <x:c r="K54" s="23" t="str">
        <x:v>Pattern/component specification + state set</x:v>
      </x:c>
      <x:c r="L54" s="26" t="str">
        <x:v>Visual evidence pending</x:v>
      </x:c>
    </x:row>
    <x:row r="55">
      <x:c r="A55" s="73" t="str">
        <x:v>SCR-068</x:v>
      </x:c>
      <x:c r="B55" s="23" t="str">
        <x:v>Projects</x:v>
      </x:c>
      <x:c r="C55" s="23" t="str">
        <x:v>Проект: история</x:v>
      </x:c>
      <x:c r="D55" s="23" t="str">
        <x:v>tab</x:v>
      </x:c>
      <x:c r="E55" s="23" t="str">
        <x:v>Tab workspace</x:v>
      </x:c>
      <x:c r="F55" s="23" t="str">
        <x:v>P1</x:v>
      </x:c>
      <x:c r="G55" s="23" t="str">
        <x:v>PeoplePicker; PermissionState; ProjectPicker; RedactionMarker; SurfaceTitle; TimelineHistory</x:v>
      </x:c>
      <x:c r="H55" s="23" t="str">
        <x:v>redacted; access revoked</x:v>
      </x:c>
      <x:c r="I55" s="23" t="str">
        <x:v>VIS-001</x:v>
      </x:c>
      <x:c r="J55" s="23" t="str">
        <x:v>Mapped</x:v>
      </x:c>
      <x:c r="K55" s="23" t="str">
        <x:v>Pattern/component specification + state set</x:v>
      </x:c>
      <x:c r="L55" s="26" t="str">
        <x:v>Visual evidence pending</x:v>
      </x:c>
    </x:row>
    <x:row r="56">
      <x:c r="A56" s="73" t="str">
        <x:v>SCR-069</x:v>
      </x:c>
      <x:c r="B56" s="23" t="str">
        <x:v>Projects</x:v>
      </x:c>
      <x:c r="C56" s="23" t="str">
        <x:v>Проект: настройки</x:v>
      </x:c>
      <x:c r="D56" s="23" t="str">
        <x:v>tab/page</x:v>
      </x:c>
      <x:c r="E56" s="23" t="str">
        <x:v>Tab workspace</x:v>
      </x:c>
      <x:c r="F56" s="23" t="str">
        <x:v>P1</x:v>
      </x:c>
      <x:c r="G56" s="23" t="str">
        <x:v>ConflictNotice; ErrorMessage; FieldLabel; FormLayout; PageLayout; PeoplePicker; PermissionState; ProjectPicker; SemanticStatus; SurfaceTitle; ValidationMessage</x:v>
      </x:c>
      <x:c r="H56" s="23" t="str">
        <x:v>conflict; forbidden field; active task warning</x:v>
      </x:c>
      <x:c r="I56" s="23" t="str">
        <x:v>VIS-001</x:v>
      </x:c>
      <x:c r="J56" s="23" t="str">
        <x:v>Mapped</x:v>
      </x:c>
      <x:c r="K56" s="23" t="str">
        <x:v>Pattern/component specification + state set</x:v>
      </x:c>
      <x:c r="L56" s="26" t="str">
        <x:v>Visual evidence pending</x:v>
      </x:c>
    </x:row>
    <x:row r="57">
      <x:c r="A57" s="73" t="str">
        <x:v>SCR-070</x:v>
      </x:c>
      <x:c r="B57" s="23" t="str">
        <x:v>Projects</x:v>
      </x:c>
      <x:c r="C57" s="23" t="str">
        <x:v>Создать/редактировать проект</x:v>
      </x:c>
      <x:c r="D57" s="23" t="str">
        <x:v>page/dialog</x:v>
      </x:c>
      <x:c r="E57" s="23" t="str">
        <x:v>Modal dialog</x:v>
      </x:c>
      <x:c r="F57" s="23" t="str">
        <x:v>P1</x:v>
      </x:c>
      <x:c r="G57" s="23" t="str">
        <x:v>ConflictNotice; DateTimePicker; DialogShell; ErrorMessage; FieldLabel; FocusTrap; FormLayout; PageLayout; PeoplePicker; ProjectPicker; SurfaceTitle; ValidationMessage</x:v>
      </x:c>
      <x:c r="H57" s="23" t="str">
        <x:v>validation; duplicate; conflict</x:v>
      </x:c>
      <x:c r="I57" s="23" t="str">
        <x:v>VIS-001</x:v>
      </x:c>
      <x:c r="J57" s="23" t="str">
        <x:v>Mapped</x:v>
      </x:c>
      <x:c r="K57" s="23" t="str">
        <x:v>Pattern/component specification + state set</x:v>
      </x:c>
      <x:c r="L57" s="26" t="str">
        <x:v>Visual evidence pending</x:v>
      </x:c>
    </x:row>
    <x:row r="58">
      <x:c r="A58" s="73" t="str">
        <x:v>SCR-071</x:v>
      </x:c>
      <x:c r="B58" s="23" t="str">
        <x:v>Projects</x:v>
      </x:c>
      <x:c r="C58" s="23" t="str">
        <x:v>Project role/overrides</x:v>
      </x:c>
      <x:c r="D58" s="23" t="str">
        <x:v>dialog</x:v>
      </x:c>
      <x:c r="E58" s="23" t="str">
        <x:v>Modal dialog</x:v>
      </x:c>
      <x:c r="F58" s="23" t="str">
        <x:v>P1</x:v>
      </x:c>
      <x:c r="G58" s="23" t="str">
        <x:v>ConflictNotice; DialogShell; FieldLabel; FocusTrap; FormLayout; PeoplePicker; PermissionState; ProjectPicker; SurfaceTitle; ValidationMessage</x:v>
      </x:c>
      <x:c r="H58" s="23" t="str">
        <x:v>forbidden; scope changed; owner restriction</x:v>
      </x:c>
      <x:c r="I58" s="23" t="str">
        <x:v>VIS-001</x:v>
      </x:c>
      <x:c r="J58" s="23" t="str">
        <x:v>Mapped</x:v>
      </x:c>
      <x:c r="K58" s="23" t="str">
        <x:v>Pattern/component specification + state set</x:v>
      </x:c>
      <x:c r="L58" s="26" t="str">
        <x:v>Visual evidence pending</x:v>
      </x:c>
    </x:row>
    <x:row r="59">
      <x:c r="A59" s="73" t="str">
        <x:v>SCR-072</x:v>
      </x:c>
      <x:c r="B59" s="23" t="str">
        <x:v>Projects</x:v>
      </x:c>
      <x:c r="C59" s="23" t="str">
        <x:v>Lifecycle проекта</x:v>
      </x:c>
      <x:c r="D59" s="23" t="str">
        <x:v>dialog/context menu</x:v>
      </x:c>
      <x:c r="E59" s="23" t="str">
        <x:v>Context menu</x:v>
      </x:c>
      <x:c r="F59" s="23" t="str">
        <x:v>P1</x:v>
      </x:c>
      <x:c r="G59" s="23" t="str">
        <x:v>ConflictNotice; ContextMenu; DialogShell; ErrorMessage; FocusTrap; LifecycleBanner; PeoplePicker; ProjectPicker; SemanticStatus; SurfaceTitle</x:v>
      </x:c>
      <x:c r="H59" s="23" t="str">
        <x:v>invalid transition; active links; conflict</x:v>
      </x:c>
      <x:c r="I59" s="23" t="str">
        <x:v>VIS-001</x:v>
      </x:c>
      <x:c r="J59" s="23" t="str">
        <x:v>Mapped</x:v>
      </x:c>
      <x:c r="K59" s="23" t="str">
        <x:v>Pattern/component specification + state set</x:v>
      </x:c>
      <x:c r="L59" s="26" t="str">
        <x:v>Visual evidence pending</x:v>
      </x:c>
    </x:row>
    <x:row r="60">
      <x:c r="A60" s="73" t="str">
        <x:v>SCR-080</x:v>
      </x:c>
      <x:c r="B60" s="23" t="str">
        <x:v>Files</x:v>
      </x:c>
      <x:c r="C60" s="23" t="str">
        <x:v>Каталог файлов</x:v>
      </x:c>
      <x:c r="D60" s="23" t="str">
        <x:v>page</x:v>
      </x:c>
      <x:c r="E60" s="23" t="str">
        <x:v>Page</x:v>
      </x:c>
      <x:c r="F60" s="23" t="str">
        <x:v>P1</x:v>
      </x:c>
      <x:c r="G60" s="23" t="str">
        <x:v>ConnectivityBanner; DataList; EmptyState; FieldLabel; FileLocationView; FormLayout; LoadingState; PageLayout; PermissionState; ProgressIndicator; ReadOnlyBanner; RetryAction; SelectionBar; SurfaceTitle; TreeView; ValidationMessage</x:v>
      </x:c>
      <x:c r="H60" s="23" t="str">
        <x:v>node loading; empty; partial; offline; stale</x:v>
      </x:c>
      <x:c r="I60" s="23" t="str">
        <x:v>VIS-001</x:v>
      </x:c>
      <x:c r="J60" s="23" t="str">
        <x:v>Mapped</x:v>
      </x:c>
      <x:c r="K60" s="23" t="str">
        <x:v>Pattern/component specification + state set</x:v>
      </x:c>
      <x:c r="L60" s="26" t="str">
        <x:v>Visual evidence pending</x:v>
      </x:c>
    </x:row>
    <x:row r="61">
      <x:c r="A61" s="73" t="str">
        <x:v>SCR-081</x:v>
      </x:c>
      <x:c r="B61" s="23" t="str">
        <x:v>Files</x:v>
      </x:c>
      <x:c r="C61" s="23" t="str">
        <x:v>Карточка CatalogItem</x:v>
      </x:c>
      <x:c r="D61" s="23" t="str">
        <x:v>page/side panel</x:v>
      </x:c>
      <x:c r="E61" s="23" t="str">
        <x:v>Details inspector</x:v>
      </x:c>
      <x:c r="F61" s="23" t="str">
        <x:v>P1</x:v>
      </x:c>
      <x:c r="G61" s="23" t="str">
        <x:v>ConnectivityBanner; DataList; FileLocationView; InspectorPanel; LifecycleBanner; PageLayout; ReadOnlyBanner; RetryAction; SearchBox; SurfaceTitle; TimelineHistory</x:v>
      </x:c>
      <x:c r="H61" s="23" t="str">
        <x:v>partial path visibility; archived; trashed; unavailable</x:v>
      </x:c>
      <x:c r="I61" s="23" t="str">
        <x:v>VIS-001</x:v>
      </x:c>
      <x:c r="J61" s="23" t="str">
        <x:v>Mapped</x:v>
      </x:c>
      <x:c r="K61" s="23" t="str">
        <x:v>Pattern/component specification + state set</x:v>
      </x:c>
      <x:c r="L61" s="26" t="str">
        <x:v>Visual evidence pending</x:v>
      </x:c>
    </x:row>
    <x:row r="62">
      <x:c r="A62" s="73" t="str">
        <x:v>SCR-082</x:v>
      </x:c>
      <x:c r="B62" s="23" t="str">
        <x:v>Files</x:v>
      </x:c>
      <x:c r="C62" s="23" t="str">
        <x:v>Добавить CatalogItem</x:v>
      </x:c>
      <x:c r="D62" s="23" t="str">
        <x:v>dialog</x:v>
      </x:c>
      <x:c r="E62" s="23" t="str">
        <x:v>Modal dialog</x:v>
      </x:c>
      <x:c r="F62" s="23" t="str">
        <x:v>P1</x:v>
      </x:c>
      <x:c r="G62" s="23" t="str">
        <x:v>ConnectivityBanner; DateTimePicker; DialogShell; FieldLabel; FileLocationView; FocusTrap; FormLayout; ReadOnlyBanner; RetryAction; SurfaceTitle; ValidationMessage</x:v>
      </x:c>
      <x:c r="H62" s="23" t="str">
        <x:v>unsafe path/type; duplicate; offline</x:v>
      </x:c>
      <x:c r="I62" s="23" t="str">
        <x:v>VIS-001</x:v>
      </x:c>
      <x:c r="J62" s="23" t="str">
        <x:v>Mapped</x:v>
      </x:c>
      <x:c r="K62" s="23" t="str">
        <x:v>Pattern/component specification + state set</x:v>
      </x:c>
      <x:c r="L62" s="26" t="str">
        <x:v>Visual evidence pending</x:v>
      </x:c>
    </x:row>
    <x:row r="63">
      <x:c r="A63" s="73" t="str">
        <x:v>SCR-083</x:v>
      </x:c>
      <x:c r="B63" s="23" t="str">
        <x:v>Files</x:v>
      </x:c>
      <x:c r="C63" s="23" t="str">
        <x:v>Управление locations</x:v>
      </x:c>
      <x:c r="D63" s="23" t="str">
        <x:v>tab/dialog</x:v>
      </x:c>
      <x:c r="E63" s="23" t="str">
        <x:v>Modal dialog</x:v>
      </x:c>
      <x:c r="F63" s="23" t="str">
        <x:v>P1</x:v>
      </x:c>
      <x:c r="G63" s="23" t="str">
        <x:v>ConflictNotice; DialogShell; FileLocationView; FocusTrap; PermissionState; SemanticStatus; SurfaceTitle</x:v>
      </x:c>
      <x:c r="H63" s="23" t="str">
        <x:v>partial visibility; conflict; unsafe path</x:v>
      </x:c>
      <x:c r="I63" s="23" t="str">
        <x:v>VIS-001</x:v>
      </x:c>
      <x:c r="J63" s="23" t="str">
        <x:v>Mapped</x:v>
      </x:c>
      <x:c r="K63" s="23" t="str">
        <x:v>Pattern/component specification + state set</x:v>
      </x:c>
      <x:c r="L63" s="26" t="str">
        <x:v>Visual evidence pending</x:v>
      </x:c>
    </x:row>
    <x:row r="64">
      <x:c r="A64" s="73" t="str">
        <x:v>SCR-084</x:v>
      </x:c>
      <x:c r="B64" s="23" t="str">
        <x:v>Files</x:v>
      </x:c>
      <x:c r="C64" s="23" t="str">
        <x:v>Выбор пути и открытие</x:v>
      </x:c>
      <x:c r="D64" s="23" t="str">
        <x:v>dialog/flow</x:v>
      </x:c>
      <x:c r="E64" s="23" t="str">
        <x:v>Modal dialog</x:v>
      </x:c>
      <x:c r="F64" s="23" t="str">
        <x:v>P1</x:v>
      </x:c>
      <x:c r="G64" s="23" t="str">
        <x:v>ConnectivityBanner; DialogShell; FileLocationView; FocusTrap; ReadOnlyBanner; RetryAction; SurfaceTitle</x:v>
      </x:c>
      <x:c r="H64" s="23" t="str">
        <x:v>no location; not found; denied; network</x:v>
      </x:c>
      <x:c r="I64" s="23" t="str">
        <x:v>VIS-001</x:v>
      </x:c>
      <x:c r="J64" s="23" t="str">
        <x:v>Mapped</x:v>
      </x:c>
      <x:c r="K64" s="23" t="str">
        <x:v>Pattern/component specification + state set</x:v>
      </x:c>
      <x:c r="L64" s="26" t="str">
        <x:v>Visual evidence pending</x:v>
      </x:c>
    </x:row>
    <x:row r="65">
      <x:c r="A65" s="73" t="str">
        <x:v>SCR-085</x:v>
      </x:c>
      <x:c r="B65" s="23" t="str">
        <x:v>Files</x:v>
      </x:c>
      <x:c r="C65" s="23" t="str">
        <x:v>Недоступный файл</x:v>
      </x:c>
      <x:c r="D65" s="23" t="str">
        <x:v>recovery dialog</x:v>
      </x:c>
      <x:c r="E65" s="23" t="str">
        <x:v>Modal dialog</x:v>
      </x:c>
      <x:c r="F65" s="23" t="str">
        <x:v>P1</x:v>
      </x:c>
      <x:c r="G65" s="23" t="str">
        <x:v>ConnectivityBanner; DateTimePicker; DialogShell; FileLocationView; FocusTrap; ReadOnlyBanner; RetryAction; SurfaceTitle</x:v>
      </x:c>
      <x:c r="H65" s="23" t="str">
        <x:v>not found; denied; network; unsafe; other-device</x:v>
      </x:c>
      <x:c r="I65" s="23" t="str">
        <x:v>VIS-001</x:v>
      </x:c>
      <x:c r="J65" s="23" t="str">
        <x:v>Mapped</x:v>
      </x:c>
      <x:c r="K65" s="23" t="str">
        <x:v>Pattern/component specification + state set</x:v>
      </x:c>
      <x:c r="L65" s="26" t="str">
        <x:v>Visual evidence pending</x:v>
      </x:c>
    </x:row>
    <x:row r="66">
      <x:c r="A66" s="73" t="str">
        <x:v>SCR-086</x:v>
      </x:c>
      <x:c r="B66" s="23" t="str">
        <x:v>Files</x:v>
      </x:c>
      <x:c r="C66" s="23" t="str">
        <x:v>Перепривязка location</x:v>
      </x:c>
      <x:c r="D66" s="23" t="str">
        <x:v>dialog</x:v>
      </x:c>
      <x:c r="E66" s="23" t="str">
        <x:v>Modal dialog</x:v>
      </x:c>
      <x:c r="F66" s="23" t="str">
        <x:v>P1</x:v>
      </x:c>
      <x:c r="G66" s="23" t="str">
        <x:v>ConflictNotice; DialogShell; FieldLabel; FileLocationView; FocusTrap; FormLayout; PermissionState; SurfaceTitle; ValidationMessage</x:v>
      </x:c>
      <x:c r="H66" s="23" t="str">
        <x:v>unsafe path; conflict; wrong scope</x:v>
      </x:c>
      <x:c r="I66" s="23" t="str">
        <x:v>VIS-001</x:v>
      </x:c>
      <x:c r="J66" s="23" t="str">
        <x:v>Mapped</x:v>
      </x:c>
      <x:c r="K66" s="23" t="str">
        <x:v>Pattern/component specification + state set</x:v>
      </x:c>
      <x:c r="L66" s="26" t="str">
        <x:v>Visual evidence pending</x:v>
      </x:c>
    </x:row>
    <x:row r="67">
      <x:c r="A67" s="73" t="str">
        <x:v>SCR-087</x:v>
      </x:c>
      <x:c r="B67" s="23" t="str">
        <x:v>Files</x:v>
      </x:c>
      <x:c r="C67" s="23" t="str">
        <x:v>Добавить альтернативный path</x:v>
      </x:c>
      <x:c r="D67" s="23" t="str">
        <x:v>dialog</x:v>
      </x:c>
      <x:c r="E67" s="23" t="str">
        <x:v>Modal dialog</x:v>
      </x:c>
      <x:c r="F67" s="23" t="str">
        <x:v>P1</x:v>
      </x:c>
      <x:c r="G67" s="23" t="str">
        <x:v>ConnectivityBanner; DialogShell; FieldLabel; FileLocationView; FocusTrap; FormLayout; ReadOnlyBanner; RetryAction; SemanticStatus; SurfaceTitle; ValidationMessage</x:v>
      </x:c>
      <x:c r="H67" s="23" t="str">
        <x:v>duplicate; unsafe; inaccessible</x:v>
      </x:c>
      <x:c r="I67" s="23" t="str">
        <x:v>VIS-001</x:v>
      </x:c>
      <x:c r="J67" s="23" t="str">
        <x:v>Mapped</x:v>
      </x:c>
      <x:c r="K67" s="23" t="str">
        <x:v>Pattern/component specification + state set</x:v>
      </x:c>
      <x:c r="L67" s="26" t="str">
        <x:v>Visual evidence pending</x:v>
      </x:c>
    </x:row>
    <x:row r="68">
      <x:c r="A68" s="73" t="str">
        <x:v>SCR-088</x:v>
      </x:c>
      <x:c r="B68" s="23" t="str">
        <x:v>Files</x:v>
      </x:c>
      <x:c r="C68" s="23" t="str">
        <x:v>Связи CatalogItem</x:v>
      </x:c>
      <x:c r="D68" s="23" t="str">
        <x:v>tab/panel</x:v>
      </x:c>
      <x:c r="E68" s="23" t="str">
        <x:v>Panel</x:v>
      </x:c>
      <x:c r="F68" s="23" t="str">
        <x:v>P1</x:v>
      </x:c>
      <x:c r="G68" s="23" t="str">
        <x:v>FileLocationView; InspectorPanel; PermissionState; ProjectPicker; SurfaceTitle; TaskRow; TaskStatusControl; UrgencyIndicator</x:v>
      </x:c>
      <x:c r="H68" s="23" t="str">
        <x:v>target hidden; duplicate</x:v>
      </x:c>
      <x:c r="I68" s="23" t="str">
        <x:v>VIS-001</x:v>
      </x:c>
      <x:c r="J68" s="23" t="str">
        <x:v>Mapped</x:v>
      </x:c>
      <x:c r="K68" s="23" t="str">
        <x:v>Pattern/component specification + state set</x:v>
      </x:c>
      <x:c r="L68" s="26" t="str">
        <x:v>Visual evidence pending</x:v>
      </x:c>
    </x:row>
    <x:row r="69">
      <x:c r="A69" s="73" t="str">
        <x:v>SCR-089</x:v>
      </x:c>
      <x:c r="B69" s="23" t="str">
        <x:v>Files</x:v>
      </x:c>
      <x:c r="C69" s="23" t="str">
        <x:v>Контекстное меню каталога</x:v>
      </x:c>
      <x:c r="D69" s="23" t="str">
        <x:v>context menu</x:v>
      </x:c>
      <x:c r="E69" s="23" t="str">
        <x:v>Context menu</x:v>
      </x:c>
      <x:c r="F69" s="23" t="str">
        <x:v>P1</x:v>
      </x:c>
      <x:c r="G69" s="23" t="str">
        <x:v>ContextMenu; DataList; FileLocationView; LifecycleBanner; PermissionState; SurfaceTitle</x:v>
      </x:c>
      <x:c r="H69" s="23" t="str">
        <x:v>mixed selection; disabled reason</x:v>
      </x:c>
      <x:c r="I69" s="23" t="str">
        <x:v>VIS-001</x:v>
      </x:c>
      <x:c r="J69" s="23" t="str">
        <x:v>Mapped</x:v>
      </x:c>
      <x:c r="K69" s="23" t="str">
        <x:v>Pattern/component specification + state set</x:v>
      </x:c>
      <x:c r="L69" s="26" t="str">
        <x:v>Visual evidence pending</x:v>
      </x:c>
    </x:row>
    <x:row r="70">
      <x:c r="A70" s="73" t="str">
        <x:v>SCR-090</x:v>
      </x:c>
      <x:c r="B70" s="23" t="str">
        <x:v>Files</x:v>
      </x:c>
      <x:c r="C70" s="23" t="str">
        <x:v>Диагностика availability</x:v>
      </x:c>
      <x:c r="D70" s="23" t="str">
        <x:v>panel/dialog</x:v>
      </x:c>
      <x:c r="E70" s="23" t="str">
        <x:v>Panel</x:v>
      </x:c>
      <x:c r="F70" s="23" t="str">
        <x:v>P1</x:v>
      </x:c>
      <x:c r="G70" s="23" t="str">
        <x:v>ConnectivityBanner; DialogShell; ErrorMessage; FileLocationView; FocusTrap; InspectorPanel; ReadOnlyBanner; RedactionMarker; RetryAction; SurfaceTitle</x:v>
      </x:c>
      <x:c r="H70" s="23" t="str">
        <x:v>stale check; device/resource unavailable</x:v>
      </x:c>
      <x:c r="I70" s="23" t="str">
        <x:v>VIS-001</x:v>
      </x:c>
      <x:c r="J70" s="23" t="str">
        <x:v>Mapped</x:v>
      </x:c>
      <x:c r="K70" s="23" t="str">
        <x:v>Pattern/component specification + state set</x:v>
      </x:c>
      <x:c r="L70" s="26" t="str">
        <x:v>Visual evidence pending</x:v>
      </x:c>
    </x:row>
    <x:row r="71">
      <x:c r="A71" s="73" t="str">
        <x:v>SCR-210</x:v>
      </x:c>
      <x:c r="B71" s="23" t="str">
        <x:v>Files</x:v>
      </x:c>
      <x:c r="C71" s="23" t="str">
        <x:v>Windows file/folder picker</x:v>
      </x:c>
      <x:c r="D71" s="23" t="str">
        <x:v>native dialog</x:v>
      </x:c>
      <x:c r="E71" s="23" t="str">
        <x:v>Modal dialog</x:v>
      </x:c>
      <x:c r="F71" s="23" t="str">
        <x:v>P1</x:v>
      </x:c>
      <x:c r="G71" s="23" t="str">
        <x:v>DialogShell; FileLocationView; FocusTrap; SurfaceTitle</x:v>
      </x:c>
      <x:c r="H71" s="23" t="str">
        <x:v>local access denied; unsafe server policy</x:v>
      </x:c>
      <x:c r="I71" s="23" t="str">
        <x:v>VIS-001</x:v>
      </x:c>
      <x:c r="J71" s="23" t="str">
        <x:v>Mapped</x:v>
      </x:c>
      <x:c r="K71" s="23" t="str">
        <x:v>Pattern/component specification + state set</x:v>
      </x:c>
      <x:c r="L71" s="26" t="str">
        <x:v>Visual evidence pending</x:v>
      </x:c>
    </x:row>
    <x:row r="72">
      <x:c r="A72" s="73" t="str">
        <x:v>SCR-110</x:v>
      </x:c>
      <x:c r="B72" s="23" t="str">
        <x:v>CRM</x:v>
      </x:c>
      <x:c r="C72" s="23" t="str">
        <x:v>Контакты и компании: список</x:v>
      </x:c>
      <x:c r="D72" s="23" t="str">
        <x:v>page</x:v>
      </x:c>
      <x:c r="E72" s="23" t="str">
        <x:v>Data list</x:v>
      </x:c>
      <x:c r="F72" s="23" t="str">
        <x:v>P1</x:v>
      </x:c>
      <x:c r="G72" s="23" t="str">
        <x:v>ConnectivityBanner; DataList; EmptyState; FieldLabel; FilterBar; FormLayout; PageLayout; PermissionState; ReadOnlyBanner; RetryAction; SearchBox; SurfaceTitle; ValidationMessage</x:v>
      </x:c>
      <x:c r="H72" s="23" t="str">
        <x:v>empty; partial; offline</x:v>
      </x:c>
      <x:c r="I72" s="23" t="str">
        <x:v>VIS-001</x:v>
      </x:c>
      <x:c r="J72" s="23" t="str">
        <x:v>Mapped</x:v>
      </x:c>
      <x:c r="K72" s="23" t="str">
        <x:v>Pattern/component specification + state set</x:v>
      </x:c>
      <x:c r="L72" s="26" t="str">
        <x:v>Visual evidence pending</x:v>
      </x:c>
    </x:row>
    <x:row r="73">
      <x:c r="A73" s="73" t="str">
        <x:v>SCR-111</x:v>
      </x:c>
      <x:c r="B73" s="23" t="str">
        <x:v>CRM</x:v>
      </x:c>
      <x:c r="C73" s="23" t="str">
        <x:v>Карточка контакта</x:v>
      </x:c>
      <x:c r="D73" s="23" t="str">
        <x:v>page</x:v>
      </x:c>
      <x:c r="E73" s="23" t="str">
        <x:v>Page</x:v>
      </x:c>
      <x:c r="F73" s="23" t="str">
        <x:v>P1</x:v>
      </x:c>
      <x:c r="G73" s="23" t="str">
        <x:v>InspectorPanel; LifecycleBanner; PageLayout; PermissionState; SearchBox; SurfaceTitle</x:v>
      </x:c>
      <x:c r="H73" s="23" t="str">
        <x:v>partial fields; archived; trashed</x:v>
      </x:c>
      <x:c r="I73" s="23" t="str">
        <x:v>VIS-001</x:v>
      </x:c>
      <x:c r="J73" s="23" t="str">
        <x:v>Mapped</x:v>
      </x:c>
      <x:c r="K73" s="23" t="str">
        <x:v>Pattern/component specification + state set</x:v>
      </x:c>
      <x:c r="L73" s="26" t="str">
        <x:v>Visual evidence pending</x:v>
      </x:c>
    </x:row>
    <x:row r="74">
      <x:c r="A74" s="73" t="str">
        <x:v>SCR-112</x:v>
      </x:c>
      <x:c r="B74" s="23" t="str">
        <x:v>CRM</x:v>
      </x:c>
      <x:c r="C74" s="23" t="str">
        <x:v>Редактор контакта</x:v>
      </x:c>
      <x:c r="D74" s="23" t="str">
        <x:v>page/dialog</x:v>
      </x:c>
      <x:c r="E74" s="23" t="str">
        <x:v>Modal dialog</x:v>
      </x:c>
      <x:c r="F74" s="23" t="str">
        <x:v>P1</x:v>
      </x:c>
      <x:c r="G74" s="23" t="str">
        <x:v>ConflictNotice; DateTimePicker; DialogShell; ErrorMessage; FieldLabel; FocusTrap; FormLayout; PageLayout; SurfaceTitle; ValidationMessage</x:v>
      </x:c>
      <x:c r="H74" s="23" t="str">
        <x:v>validation; duplicate warning; conflict</x:v>
      </x:c>
      <x:c r="I74" s="23" t="str">
        <x:v>VIS-001</x:v>
      </x:c>
      <x:c r="J74" s="23" t="str">
        <x:v>Mapped</x:v>
      </x:c>
      <x:c r="K74" s="23" t="str">
        <x:v>Pattern/component specification + state set</x:v>
      </x:c>
      <x:c r="L74" s="26" t="str">
        <x:v>Visual evidence pending</x:v>
      </x:c>
    </x:row>
    <x:row r="75">
      <x:c r="A75" s="73" t="str">
        <x:v>SCR-113</x:v>
      </x:c>
      <x:c r="B75" s="23" t="str">
        <x:v>CRM</x:v>
      </x:c>
      <x:c r="C75" s="23" t="str">
        <x:v>Карточка компании</x:v>
      </x:c>
      <x:c r="D75" s="23" t="str">
        <x:v>page</x:v>
      </x:c>
      <x:c r="E75" s="23" t="str">
        <x:v>Page</x:v>
      </x:c>
      <x:c r="F75" s="23" t="str">
        <x:v>P1</x:v>
      </x:c>
      <x:c r="G75" s="23" t="str">
        <x:v>InspectorPanel; LifecycleBanner; PageLayout; PermissionState; SearchBox; SurfaceTitle</x:v>
      </x:c>
      <x:c r="H75" s="23" t="str">
        <x:v>partial; archived; trashed</x:v>
      </x:c>
      <x:c r="I75" s="23" t="str">
        <x:v>VIS-001</x:v>
      </x:c>
      <x:c r="J75" s="23" t="str">
        <x:v>Mapped</x:v>
      </x:c>
      <x:c r="K75" s="23" t="str">
        <x:v>Pattern/component specification + state set</x:v>
      </x:c>
      <x:c r="L75" s="26" t="str">
        <x:v>Visual evidence pending</x:v>
      </x:c>
    </x:row>
    <x:row r="76">
      <x:c r="A76" s="73" t="str">
        <x:v>SCR-114</x:v>
      </x:c>
      <x:c r="B76" s="23" t="str">
        <x:v>CRM</x:v>
      </x:c>
      <x:c r="C76" s="23" t="str">
        <x:v>Редактор компании</x:v>
      </x:c>
      <x:c r="D76" s="23" t="str">
        <x:v>page/dialog</x:v>
      </x:c>
      <x:c r="E76" s="23" t="str">
        <x:v>Modal dialog</x:v>
      </x:c>
      <x:c r="F76" s="23" t="str">
        <x:v>P1</x:v>
      </x:c>
      <x:c r="G76" s="23" t="str">
        <x:v>ConflictNotice; DateTimePicker; DialogShell; ErrorMessage; FieldLabel; FocusTrap; FormLayout; PageLayout; SurfaceTitle; ValidationMessage</x:v>
      </x:c>
      <x:c r="H76" s="23" t="str">
        <x:v>validation; duplicate; conflict</x:v>
      </x:c>
      <x:c r="I76" s="23" t="str">
        <x:v>VIS-001</x:v>
      </x:c>
      <x:c r="J76" s="23" t="str">
        <x:v>Mapped</x:v>
      </x:c>
      <x:c r="K76" s="23" t="str">
        <x:v>Pattern/component specification + state set</x:v>
      </x:c>
      <x:c r="L76" s="26" t="str">
        <x:v>Visual evidence pending</x:v>
      </x:c>
    </x:row>
    <x:row r="77">
      <x:c r="A77" s="73" t="str">
        <x:v>SCR-115</x:v>
      </x:c>
      <x:c r="B77" s="23" t="str">
        <x:v>CRM</x:v>
      </x:c>
      <x:c r="C77" s="23" t="str">
        <x:v>Каналы связи и адреса</x:v>
      </x:c>
      <x:c r="D77" s="23" t="str">
        <x:v>tab/panel</x:v>
      </x:c>
      <x:c r="E77" s="23" t="str">
        <x:v>Panel</x:v>
      </x:c>
      <x:c r="F77" s="23" t="str">
        <x:v>P1</x:v>
      </x:c>
      <x:c r="G77" s="23" t="str">
        <x:v>ErrorMessage; InspectorPanel; PermissionState; RedactionMarker; SurfaceTitle</x:v>
      </x:c>
      <x:c r="H77" s="23" t="str">
        <x:v>validation; partial redaction</x:v>
      </x:c>
      <x:c r="I77" s="23" t="str">
        <x:v>VIS-001</x:v>
      </x:c>
      <x:c r="J77" s="23" t="str">
        <x:v>Mapped</x:v>
      </x:c>
      <x:c r="K77" s="23" t="str">
        <x:v>Pattern/component specification + state set</x:v>
      </x:c>
      <x:c r="L77" s="26" t="str">
        <x:v>Visual evidence pending</x:v>
      </x:c>
    </x:row>
    <x:row r="78">
      <x:c r="A78" s="73" t="str">
        <x:v>SCR-116</x:v>
      </x:c>
      <x:c r="B78" s="23" t="str">
        <x:v>CRM</x:v>
      </x:c>
      <x:c r="C78" s="23" t="str">
        <x:v>Interaction timeline</x:v>
      </x:c>
      <x:c r="D78" s="23" t="str">
        <x:v>tab/timeline</x:v>
      </x:c>
      <x:c r="E78" s="23" t="str">
        <x:v>Tab workspace</x:v>
      </x:c>
      <x:c r="F78" s="23" t="str">
        <x:v>P1</x:v>
      </x:c>
      <x:c r="G78" s="23" t="str">
        <x:v>ConnectivityBanner; DateTimePicker; EmptyState; FieldLabel; FilterBar; FormLayout; PermissionState; ReadOnlyBanner; RetryAction; SurfaceTitle; ValidationMessage</x:v>
      </x:c>
      <x:c r="H78" s="23" t="str">
        <x:v>empty; partial; offline</x:v>
      </x:c>
      <x:c r="I78" s="23" t="str">
        <x:v>VIS-001</x:v>
      </x:c>
      <x:c r="J78" s="23" t="str">
        <x:v>Mapped</x:v>
      </x:c>
      <x:c r="K78" s="23" t="str">
        <x:v>Pattern/component specification + state set</x:v>
      </x:c>
      <x:c r="L78" s="26" t="str">
        <x:v>Visual evidence pending</x:v>
      </x:c>
    </x:row>
    <x:row r="79">
      <x:c r="A79" s="73" t="str">
        <x:v>SCR-117</x:v>
      </x:c>
      <x:c r="B79" s="23" t="str">
        <x:v>CRM</x:v>
      </x:c>
      <x:c r="C79" s="23" t="str">
        <x:v>Редактор Interaction</x:v>
      </x:c>
      <x:c r="D79" s="23" t="str">
        <x:v>dialog</x:v>
      </x:c>
      <x:c r="E79" s="23" t="str">
        <x:v>Modal dialog</x:v>
      </x:c>
      <x:c r="F79" s="23" t="str">
        <x:v>P1</x:v>
      </x:c>
      <x:c r="G79" s="23" t="str">
        <x:v>ConflictNotice; DialogShell; ErrorMessage; FieldLabel; FocusTrap; FormLayout; PermissionState; SurfaceTitle; ValidationMessage</x:v>
      </x:c>
      <x:c r="H79" s="23" t="str">
        <x:v>validation; conflict; hidden participant</x:v>
      </x:c>
      <x:c r="I79" s="23" t="str">
        <x:v>VIS-001</x:v>
      </x:c>
      <x:c r="J79" s="23" t="str">
        <x:v>Mapped</x:v>
      </x:c>
      <x:c r="K79" s="23" t="str">
        <x:v>Pattern/component specification + state set</x:v>
      </x:c>
      <x:c r="L79" s="26" t="str">
        <x:v>Visual evidence pending</x:v>
      </x:c>
    </x:row>
    <x:row r="80">
      <x:c r="A80" s="73" t="str">
        <x:v>SCR-118</x:v>
      </x:c>
      <x:c r="B80" s="23" t="str">
        <x:v>CRM</x:v>
      </x:c>
      <x:c r="C80" s="23" t="str">
        <x:v>Связанные Task/Project/File</x:v>
      </x:c>
      <x:c r="D80" s="23" t="str">
        <x:v>tab/panel</x:v>
      </x:c>
      <x:c r="E80" s="23" t="str">
        <x:v>Panel</x:v>
      </x:c>
      <x:c r="F80" s="23" t="str">
        <x:v>P1</x:v>
      </x:c>
      <x:c r="G80" s="23" t="str">
        <x:v>ConnectivityBanner; FileLocationView; InspectorPanel; PermissionState; ProjectPicker; ReadOnlyBanner; RedactionMarker; RetryAction; SurfaceTitle; TaskRow; TaskStatusControl; UrgencyIndicator</x:v>
      </x:c>
      <x:c r="H80" s="23" t="str">
        <x:v>partial access; target unavailable</x:v>
      </x:c>
      <x:c r="I80" s="23" t="str">
        <x:v>VIS-001</x:v>
      </x:c>
      <x:c r="J80" s="23" t="str">
        <x:v>Mapped</x:v>
      </x:c>
      <x:c r="K80" s="23" t="str">
        <x:v>Pattern/component specification + state set</x:v>
      </x:c>
      <x:c r="L80" s="26" t="str">
        <x:v>Visual evidence pending</x:v>
      </x:c>
    </x:row>
    <x:row r="81">
      <x:c r="A81" s="73" t="str">
        <x:v>SCR-119</x:v>
      </x:c>
      <x:c r="B81" s="23" t="str">
        <x:v>CRM</x:v>
      </x:c>
      <x:c r="C81" s="23" t="str">
        <x:v>Контекстное меню CRM</x:v>
      </x:c>
      <x:c r="D81" s="23" t="str">
        <x:v>context menu</x:v>
      </x:c>
      <x:c r="E81" s="23" t="str">
        <x:v>Context menu</x:v>
      </x:c>
      <x:c r="F81" s="23" t="str">
        <x:v>P1</x:v>
      </x:c>
      <x:c r="G81" s="23" t="str">
        <x:v>ContextMenu; LifecycleBanner; PermissionState; SurfaceTitle</x:v>
      </x:c>
      <x:c r="H81" s="23" t="str">
        <x:v>disabled reasons</x:v>
      </x:c>
      <x:c r="I81" s="23" t="str">
        <x:v>VIS-001</x:v>
      </x:c>
      <x:c r="J81" s="23" t="str">
        <x:v>Mapped</x:v>
      </x:c>
      <x:c r="K81" s="23" t="str">
        <x:v>Pattern/component specification + state set</x:v>
      </x:c>
      <x:c r="L81" s="26" t="str">
        <x:v>Visual evidence pending</x:v>
      </x:c>
    </x:row>
    <x:row r="82">
      <x:c r="A82" s="73" t="str">
        <x:v>SCR-130</x:v>
      </x:c>
      <x:c r="B82" s="23" t="str">
        <x:v>Notifications</x:v>
      </x:c>
      <x:c r="C82" s="23" t="str">
        <x:v>Центр уведомлений</x:v>
      </x:c>
      <x:c r="D82" s="23" t="str">
        <x:v>page/panel</x:v>
      </x:c>
      <x:c r="E82" s="23" t="str">
        <x:v>Panel</x:v>
      </x:c>
      <x:c r="F82" s="23" t="str">
        <x:v>P1</x:v>
      </x:c>
      <x:c r="G82" s="23" t="str">
        <x:v>ConnectivityBanner; EmptyState; ErrorMessage; FilterBar; InspectorPanel; NotificationItem; PageLayout; PermissionState; ReadOnlyBanner; ReminderEditor; RetryAction; SemanticStatus; SurfaceTitle</x:v>
      </x:c>
      <x:c r="H82" s="23" t="str">
        <x:v>empty; offline cached; target unavailable</x:v>
      </x:c>
      <x:c r="I82" s="23" t="str">
        <x:v>VIS-001</x:v>
      </x:c>
      <x:c r="J82" s="23" t="str">
        <x:v>Mapped</x:v>
      </x:c>
      <x:c r="K82" s="23" t="str">
        <x:v>Pattern/component specification + state set</x:v>
      </x:c>
      <x:c r="L82" s="26" t="str">
        <x:v>Visual evidence pending</x:v>
      </x:c>
    </x:row>
    <x:row r="83">
      <x:c r="A83" s="73" t="str">
        <x:v>SCR-131</x:v>
      </x:c>
      <x:c r="B83" s="23" t="str">
        <x:v>Notifications</x:v>
      </x:c>
      <x:c r="C83" s="23" t="str">
        <x:v>Windows desktop notification</x:v>
      </x:c>
      <x:c r="D83" s="23" t="str">
        <x:v>system notification</x:v>
      </x:c>
      <x:c r="E83" s="23" t="str">
        <x:v>Specialized surface</x:v>
      </x:c>
      <x:c r="F83" s="23" t="str">
        <x:v>P1</x:v>
      </x:c>
      <x:c r="G83" s="23" t="str">
        <x:v>ConflictNotice; ConnectivityBanner; DateTimePicker; ErrorMessage; NotificationItem; PermissionState; ReadOnlyBanner; ReminderEditor; RetryAction; SemanticStatus; SurfaceTitle</x:v>
      </x:c>
      <x:c r="H83" s="23" t="str">
        <x:v>DND; expired; offline; target changed</x:v>
      </x:c>
      <x:c r="I83" s="23" t="str">
        <x:v>VIS-001</x:v>
      </x:c>
      <x:c r="J83" s="23" t="str">
        <x:v>Mapped</x:v>
      </x:c>
      <x:c r="K83" s="23" t="str">
        <x:v>Pattern/component specification + state set</x:v>
      </x:c>
      <x:c r="L83" s="26" t="str">
        <x:v>Visual evidence pending</x:v>
      </x:c>
    </x:row>
    <x:row r="84">
      <x:c r="A84" s="73" t="str">
        <x:v>SCR-132</x:v>
      </x:c>
      <x:c r="B84" s="23" t="str">
        <x:v>Notifications</x:v>
      </x:c>
      <x:c r="C84" s="23" t="str">
        <x:v>Результат notification action</x:v>
      </x:c>
      <x:c r="D84" s="23" t="str">
        <x:v>toast/inline</x:v>
      </x:c>
      <x:c r="E84" s="23" t="str">
        <x:v>Data list</x:v>
      </x:c>
      <x:c r="F84" s="23" t="str">
        <x:v>P1</x:v>
      </x:c>
      <x:c r="G84" s="23" t="str">
        <x:v>ConflictNotice; ConnectivityBanner; DataList; NotificationItem; PermissionState; ReadOnlyBanner; ReminderEditor; RetryAction; SurfaceTitle</x:v>
      </x:c>
      <x:c r="H84" s="23" t="str">
        <x:v>already applied; permission revoked; unavailable</x:v>
      </x:c>
      <x:c r="I84" s="23" t="str">
        <x:v>VIS-001</x:v>
      </x:c>
      <x:c r="J84" s="23" t="str">
        <x:v>Mapped</x:v>
      </x:c>
      <x:c r="K84" s="23" t="str">
        <x:v>Pattern/component specification + state set</x:v>
      </x:c>
      <x:c r="L84" s="26" t="str">
        <x:v>Visual evidence pending</x:v>
      </x:c>
    </x:row>
    <x:row r="85">
      <x:c r="A85" s="73" t="str">
        <x:v>SCR-133</x:v>
      </x:c>
      <x:c r="B85" s="23" t="str">
        <x:v>Search</x:v>
      </x:c>
      <x:c r="C85" s="23" t="str">
        <x:v>Глобальный поиск</x:v>
      </x:c>
      <x:c r="D85" s="23" t="str">
        <x:v>overlay/page</x:v>
      </x:c>
      <x:c r="E85" s="23" t="str">
        <x:v>Overlay / command surface</x:v>
      </x:c>
      <x:c r="F85" s="23" t="str">
        <x:v>P0</x:v>
      </x:c>
      <x:c r="G85" s="23" t="str">
        <x:v>DataList; EmptyState; ErrorMessage; FilterBar; LoadingState; PageLayout; Pagination; PermissionState; PopoverSurface; ProgressIndicator; RedactionMarker; SearchBox; SurfaceTitle</x:v>
      </x:c>
      <x:c r="H85" s="23" t="str">
        <x:v>loading; empty; filtered empty; partial permission-safe; cursor invalid/expired</x:v>
      </x:c>
      <x:c r="I85" s="23" t="str">
        <x:v>VIS-001</x:v>
      </x:c>
      <x:c r="J85" s="23" t="str">
        <x:v>Mapped</x:v>
      </x:c>
      <x:c r="K85" s="23" t="str">
        <x:v>Hi-fi frame + state set + keyboard walkthrough</x:v>
      </x:c>
      <x:c r="L85" s="26" t="str">
        <x:v>Visual evidence pending</x:v>
      </x:c>
    </x:row>
    <x:row r="86">
      <x:c r="A86" s="73" t="str">
        <x:v>SCR-134</x:v>
      </x:c>
      <x:c r="B86" s="23" t="str">
        <x:v>Search</x:v>
      </x:c>
      <x:c r="C86" s="23" t="str">
        <x:v>Полные результаты поиска</x:v>
      </x:c>
      <x:c r="D86" s="23" t="str">
        <x:v>page</x:v>
      </x:c>
      <x:c r="E86" s="23" t="str">
        <x:v>Data list</x:v>
      </x:c>
      <x:c r="F86" s="23" t="str">
        <x:v>P0</x:v>
      </x:c>
      <x:c r="G86" s="23" t="str">
        <x:v>DataList; EmptyState; ErrorMessage; FieldLabel; FilterBar; FormLayout; LoadingState; PageLayout; Pagination; ProgressIndicator; RedactionMarker; SearchBox; SurfaceTitle; ValidationMessage</x:v>
      </x:c>
      <x:c r="H86" s="23" t="str">
        <x:v>loading; empty; filtered empty; cursor restart; partial access</x:v>
      </x:c>
      <x:c r="I86" s="23" t="str">
        <x:v>VIS-001</x:v>
      </x:c>
      <x:c r="J86" s="23" t="str">
        <x:v>Mapped</x:v>
      </x:c>
      <x:c r="K86" s="23" t="str">
        <x:v>Hi-fi frame + state set + keyboard walkthrough</x:v>
      </x:c>
      <x:c r="L86" s="26" t="str">
        <x:v>Visual evidence pending</x:v>
      </x:c>
    </x:row>
    <x:row r="87">
      <x:c r="A87" s="73" t="str">
        <x:v>SCR-135</x:v>
      </x:c>
      <x:c r="B87" s="23" t="str">
        <x:v>Search</x:v>
      </x:c>
      <x:c r="C87" s="23" t="str">
        <x:v>Фильтры поиска</x:v>
      </x:c>
      <x:c r="D87" s="23" t="str">
        <x:v>panel</x:v>
      </x:c>
      <x:c r="E87" s="23" t="str">
        <x:v>Panel</x:v>
      </x:c>
      <x:c r="F87" s="23" t="str">
        <x:v>P0</x:v>
      </x:c>
      <x:c r="G87" s="23" t="str">
        <x:v>EmptyState; ErrorMessage; FieldLabel; FileLocationView; FilterBar; FormLayout; InspectorPanel; Pagination; ProjectPicker; SearchBox; SurfaceTitle; ValidationMessage</x:v>
      </x:c>
      <x:c r="H87" s="23" t="str">
        <x:v>incompatible type; filtered empty; cursor reset</x:v>
      </x:c>
      <x:c r="I87" s="23" t="str">
        <x:v>VIS-001</x:v>
      </x:c>
      <x:c r="J87" s="23" t="str">
        <x:v>Mapped</x:v>
      </x:c>
      <x:c r="K87" s="23" t="str">
        <x:v>Hi-fi frame + state set + keyboard walkthrough</x:v>
      </x:c>
      <x:c r="L87" s="26" t="str">
        <x:v>Visual evidence pending</x:v>
      </x:c>
    </x:row>
    <x:row r="88">
      <x:c r="A88" s="73" t="str">
        <x:v>SCR-136</x:v>
      </x:c>
      <x:c r="B88" s="23" t="str">
        <x:v>Search</x:v>
      </x:c>
      <x:c r="C88" s="23" t="str">
        <x:v>Partial/offline search banner</x:v>
      </x:c>
      <x:c r="D88" s="23" t="str">
        <x:v>banner/empty</x:v>
      </x:c>
      <x:c r="E88" s="23" t="str">
        <x:v>Specialized surface</x:v>
      </x:c>
      <x:c r="F88" s="23" t="str">
        <x:v>P0</x:v>
      </x:c>
      <x:c r="G88" s="23" t="str">
        <x:v>ConnectivityBanner; EmptyState; ErrorMessage; FilterBar; ReadOnlyBanner; RetryAction; SearchBox; SurfaceTitle</x:v>
      </x:c>
      <x:c r="H88" s="23" t="str">
        <x:v>offline; timeout; scope changed</x:v>
      </x:c>
      <x:c r="I88" s="23" t="str">
        <x:v>VIS-001</x:v>
      </x:c>
      <x:c r="J88" s="23" t="str">
        <x:v>Mapped</x:v>
      </x:c>
      <x:c r="K88" s="23" t="str">
        <x:v>Hi-fi frame + state set + keyboard walkthrough</x:v>
      </x:c>
      <x:c r="L88" s="26" t="str">
        <x:v>Visual evidence pending</x:v>
      </x:c>
    </x:row>
    <x:row r="89">
      <x:c r="A89" s="73" t="str">
        <x:v>SCR-140</x:v>
      </x:c>
      <x:c r="B89" s="23" t="str">
        <x:v>Lifecycle</x:v>
      </x:c>
      <x:c r="C89" s="23" t="str">
        <x:v>Архив</x:v>
      </x:c>
      <x:c r="D89" s="23" t="str">
        <x:v>page</x:v>
      </x:c>
      <x:c r="E89" s="23" t="str">
        <x:v>Page</x:v>
      </x:c>
      <x:c r="F89" s="23" t="str">
        <x:v>P0</x:v>
      </x:c>
      <x:c r="G89" s="23" t="str">
        <x:v>ConnectivityBanner; DataList; EmptyState; FilterBar; LifecycleBanner; PageLayout; PermissionState; ReadOnlyBanner; RetryAction; SurfaceTitle; TimelineHistory</x:v>
      </x:c>
      <x:c r="H89" s="23" t="str">
        <x:v>empty; partial; offline</x:v>
      </x:c>
      <x:c r="I89" s="23" t="str">
        <x:v>VIS-001</x:v>
      </x:c>
      <x:c r="J89" s="23" t="str">
        <x:v>Mapped</x:v>
      </x:c>
      <x:c r="K89" s="23" t="str">
        <x:v>Hi-fi frame + state set + keyboard walkthrough</x:v>
      </x:c>
      <x:c r="L89" s="26" t="str">
        <x:v>Visual evidence pending</x:v>
      </x:c>
    </x:row>
    <x:row r="90">
      <x:c r="A90" s="73" t="str">
        <x:v>SCR-141</x:v>
      </x:c>
      <x:c r="B90" s="23" t="str">
        <x:v>Lifecycle</x:v>
      </x:c>
      <x:c r="C90" s="23" t="str">
        <x:v>Корзина</x:v>
      </x:c>
      <x:c r="D90" s="23" t="str">
        <x:v>page</x:v>
      </x:c>
      <x:c r="E90" s="23" t="str">
        <x:v>Page</x:v>
      </x:c>
      <x:c r="F90" s="23" t="str">
        <x:v>P0</x:v>
      </x:c>
      <x:c r="G90" s="23" t="str">
        <x:v>ConflictNotice; DataList; DateTimePicker; EmptyState; LifecycleBanner; PageLayout; PermissionState; SurfaceTitle; TimelineHistory</x:v>
      </x:c>
      <x:c r="H90" s="23" t="str">
        <x:v>empty; legal hold; parent missing; conflict</x:v>
      </x:c>
      <x:c r="I90" s="23" t="str">
        <x:v>VIS-001</x:v>
      </x:c>
      <x:c r="J90" s="23" t="str">
        <x:v>Mapped</x:v>
      </x:c>
      <x:c r="K90" s="23" t="str">
        <x:v>Hi-fi frame + state set + keyboard walkthrough</x:v>
      </x:c>
      <x:c r="L90" s="26" t="str">
        <x:v>Visual evidence pending</x:v>
      </x:c>
    </x:row>
    <x:row r="91">
      <x:c r="A91" s="73" t="str">
        <x:v>SCR-142</x:v>
      </x:c>
      <x:c r="B91" s="23" t="str">
        <x:v>Lifecycle</x:v>
      </x:c>
      <x:c r="C91" s="23" t="str">
        <x:v>Восстановление / restore conflict</x:v>
      </x:c>
      <x:c r="D91" s="23" t="str">
        <x:v>dialog</x:v>
      </x:c>
      <x:c r="E91" s="23" t="str">
        <x:v>Modal dialog</x:v>
      </x:c>
      <x:c r="F91" s="23" t="str">
        <x:v>P2</x:v>
      </x:c>
      <x:c r="G91" s="23" t="str">
        <x:v>DataList; DialogShell; FocusTrap; PermissionState; SurfaceTitle; TimelineHistory</x:v>
      </x:c>
      <x:c r="H91" s="23" t="str">
        <x:v>duplicate; hidden parent; permission changed</x:v>
      </x:c>
      <x:c r="I91" s="23" t="str">
        <x:v>VIS-001</x:v>
      </x:c>
      <x:c r="J91" s="23" t="str">
        <x:v>Mapped</x:v>
      </x:c>
      <x:c r="K91" s="23" t="str">
        <x:v>Pattern/component specification + state set</x:v>
      </x:c>
      <x:c r="L91" s="26" t="str">
        <x:v>Visual evidence pending</x:v>
      </x:c>
    </x:row>
    <x:row r="92">
      <x:c r="A92" s="73" t="str">
        <x:v>SCR-143</x:v>
      </x:c>
      <x:c r="B92" s="23" t="str">
        <x:v>Lifecycle</x:v>
      </x:c>
      <x:c r="C92" s="23" t="str">
        <x:v>Purge metadata</x:v>
      </x:c>
      <x:c r="D92" s="23" t="str">
        <x:v>critical dialog</x:v>
      </x:c>
      <x:c r="E92" s="23" t="str">
        <x:v>Modal dialog</x:v>
      </x:c>
      <x:c r="F92" s="23" t="str">
        <x:v>P0</x:v>
      </x:c>
      <x:c r="G92" s="23" t="str">
        <x:v>ConflictNotice; DataList; DialogShell; ErrorMessage; FocusTrap; PermissionState; SemanticStatus; SurfaceTitle; TimelineHistory</x:v>
      </x:c>
      <x:c r="H92" s="23" t="str">
        <x:v>retention blocked; legal hold; conflict</x:v>
      </x:c>
      <x:c r="I92" s="23" t="str">
        <x:v>VIS-001</x:v>
      </x:c>
      <x:c r="J92" s="23" t="str">
        <x:v>Mapped</x:v>
      </x:c>
      <x:c r="K92" s="23" t="str">
        <x:v>Hi-fi frame + state set + keyboard walkthrough</x:v>
      </x:c>
      <x:c r="L92" s="26" t="str">
        <x:v>Visual evidence pending</x:v>
      </x:c>
    </x:row>
    <x:row r="93">
      <x:c r="A93" s="73" t="str">
        <x:v>SCR-150</x:v>
      </x:c>
      <x:c r="B93" s="23" t="str">
        <x:v>Settings</x:v>
      </x:c>
      <x:c r="C93" s="23" t="str">
        <x:v>Настройки</x:v>
      </x:c>
      <x:c r="D93" s="23" t="str">
        <x:v>settings shell</x:v>
      </x:c>
      <x:c r="E93" s="23" t="str">
        <x:v>Application shell</x:v>
      </x:c>
      <x:c r="F93" s="23" t="str">
        <x:v>P0</x:v>
      </x:c>
      <x:c r="G93" s="23" t="str">
        <x:v>CommandBar; ConflictNotice; ConnectionStatus; ConnectivityBanner; FieldLabel; FormLayout; NavigationRail; NotificationItem; PermissionState; ProfileMenu; ReadOnlyBanner; RetryAction; SurfaceTitle; ValidationMessage</x:v>
      </x:c>
      <x:c r="H93" s="23" t="str">
        <x:v>offline read-only; server-managed locked</x:v>
      </x:c>
      <x:c r="I93" s="23" t="str">
        <x:v>VIS-001</x:v>
      </x:c>
      <x:c r="J93" s="23" t="str">
        <x:v>Mapped</x:v>
      </x:c>
      <x:c r="K93" s="23" t="str">
        <x:v>Hi-fi frame + state set + keyboard walkthrough</x:v>
      </x:c>
      <x:c r="L93" s="26" t="str">
        <x:v>Visual evidence pending</x:v>
      </x:c>
    </x:row>
    <x:row r="94">
      <x:c r="A94" s="73" t="str">
        <x:v>SCR-151</x:v>
      </x:c>
      <x:c r="B94" s="23" t="str">
        <x:v>Settings</x:v>
      </x:c>
      <x:c r="C94" s="23" t="str">
        <x:v>Профиль</x:v>
      </x:c>
      <x:c r="D94" s="23" t="str">
        <x:v>settings section</x:v>
      </x:c>
      <x:c r="E94" s="23" t="str">
        <x:v>Specialized surface</x:v>
      </x:c>
      <x:c r="F94" s="23" t="str">
        <x:v>P2</x:v>
      </x:c>
      <x:c r="G94" s="23" t="str">
        <x:v>DateTimePicker; ErrorMessage; FieldLabel; FileLocationView; FormLayout; NotificationItem; PermissionState; SurfaceTitle; ValidationMessage</x:v>
      </x:c>
      <x:c r="H94" s="23" t="str">
        <x:v>validation; admin-managed field</x:v>
      </x:c>
      <x:c r="I94" s="23" t="str">
        <x:v>VIS-001</x:v>
      </x:c>
      <x:c r="J94" s="23" t="str">
        <x:v>Mapped</x:v>
      </x:c>
      <x:c r="K94" s="23" t="str">
        <x:v>Pattern/component specification + state set</x:v>
      </x:c>
      <x:c r="L94" s="26" t="str">
        <x:v>Visual evidence pending</x:v>
      </x:c>
    </x:row>
    <x:row r="95">
      <x:c r="A95" s="73" t="str">
        <x:v>SCR-152</x:v>
      </x:c>
      <x:c r="B95" s="23" t="str">
        <x:v>Settings</x:v>
      </x:c>
      <x:c r="C95" s="23" t="str">
        <x:v>Пароль и безопасность</x:v>
      </x:c>
      <x:c r="D95" s="23" t="str">
        <x:v>settings section</x:v>
      </x:c>
      <x:c r="E95" s="23" t="str">
        <x:v>Specialized surface</x:v>
      </x:c>
      <x:c r="F95" s="23" t="str">
        <x:v>P2</x:v>
      </x:c>
      <x:c r="G95" s="23" t="str">
        <x:v>DataList; ErrorMessage; NotificationItem; SurfaceTitle</x:v>
      </x:c>
      <x:c r="H95" s="23" t="str">
        <x:v>wrong current password; revoked</x:v>
      </x:c>
      <x:c r="I95" s="23" t="str">
        <x:v>VIS-001</x:v>
      </x:c>
      <x:c r="J95" s="23" t="str">
        <x:v>Mapped</x:v>
      </x:c>
      <x:c r="K95" s="23" t="str">
        <x:v>Pattern/component specification + state set</x:v>
      </x:c>
      <x:c r="L95" s="26" t="str">
        <x:v>Visual evidence pending</x:v>
      </x:c>
    </x:row>
    <x:row r="96">
      <x:c r="A96" s="73" t="str">
        <x:v>SCR-153</x:v>
      </x:c>
      <x:c r="B96" s="23" t="str">
        <x:v>Settings</x:v>
      </x:c>
      <x:c r="C96" s="23" t="str">
        <x:v>Notifications и DND</x:v>
      </x:c>
      <x:c r="D96" s="23" t="str">
        <x:v>settings section</x:v>
      </x:c>
      <x:c r="E96" s="23" t="str">
        <x:v>Specialized surface</x:v>
      </x:c>
      <x:c r="F96" s="23" t="str">
        <x:v>P2</x:v>
      </x:c>
      <x:c r="G96" s="23" t="str">
        <x:v>ErrorMessage; FieldLabel; FormLayout; NotificationItem; PermissionState; SurfaceTitle; ValidationMessage</x:v>
      </x:c>
      <x:c r="H96" s="23" t="str">
        <x:v>OS permission denied; invalid intervals</x:v>
      </x:c>
      <x:c r="I96" s="23" t="str">
        <x:v>VIS-001</x:v>
      </x:c>
      <x:c r="J96" s="23" t="str">
        <x:v>Mapped</x:v>
      </x:c>
      <x:c r="K96" s="23" t="str">
        <x:v>Pattern/component specification + state set</x:v>
      </x:c>
      <x:c r="L96" s="26" t="str">
        <x:v>Visual evidence pending</x:v>
      </x:c>
    </x:row>
    <x:row r="97">
      <x:c r="A97" s="73" t="str">
        <x:v>SCR-154</x:v>
      </x:c>
      <x:c r="B97" s="23" t="str">
        <x:v>Settings</x:v>
      </x:c>
      <x:c r="C97" s="23" t="str">
        <x:v>Calendar preferences</x:v>
      </x:c>
      <x:c r="D97" s="23" t="str">
        <x:v>settings section</x:v>
      </x:c>
      <x:c r="E97" s="23" t="str">
        <x:v>Specialized surface</x:v>
      </x:c>
      <x:c r="F97" s="23" t="str">
        <x:v>P2</x:v>
      </x:c>
      <x:c r="G97" s="23" t="str">
        <x:v>DateTimePicker; ErrorMessage; FieldLabel; FormLayout; NotificationItem; SurfaceTitle; ValidationMessage</x:v>
      </x:c>
      <x:c r="H97" s="23" t="str">
        <x:v>validation</x:v>
      </x:c>
      <x:c r="I97" s="23" t="str">
        <x:v>VIS-001</x:v>
      </x:c>
      <x:c r="J97" s="23" t="str">
        <x:v>Mapped</x:v>
      </x:c>
      <x:c r="K97" s="23" t="str">
        <x:v>Pattern/component specification + state set</x:v>
      </x:c>
      <x:c r="L97" s="26" t="str">
        <x:v>Visual evidence pending</x:v>
      </x:c>
    </x:row>
    <x:row r="98">
      <x:c r="A98" s="73" t="str">
        <x:v>SCR-155</x:v>
      </x:c>
      <x:c r="B98" s="23" t="str">
        <x:v>Settings</x:v>
      </x:c>
      <x:c r="C98" s="23" t="str">
        <x:v>Startup, tray и device</x:v>
      </x:c>
      <x:c r="D98" s="23" t="str">
        <x:v>settings section</x:v>
      </x:c>
      <x:c r="E98" s="23" t="str">
        <x:v>Specialized surface</x:v>
      </x:c>
      <x:c r="F98" s="23" t="str">
        <x:v>P2</x:v>
      </x:c>
      <x:c r="G98" s="23" t="str">
        <x:v>FieldLabel; FormLayout; NotificationItem; PermissionState; SemanticStatus; SurfaceTitle; ValidationMessage</x:v>
      </x:c>
      <x:c r="H98" s="23" t="str">
        <x:v>Windows denied; device revoked</x:v>
      </x:c>
      <x:c r="I98" s="23" t="str">
        <x:v>VIS-001</x:v>
      </x:c>
      <x:c r="J98" s="23" t="str">
        <x:v>Mapped</x:v>
      </x:c>
      <x:c r="K98" s="23" t="str">
        <x:v>Pattern/component specification + state set</x:v>
      </x:c>
      <x:c r="L98" s="26" t="str">
        <x:v>Visual evidence pending</x:v>
      </x:c>
    </x:row>
    <x:row r="99">
      <x:c r="A99" s="73" t="str">
        <x:v>SCR-156</x:v>
      </x:c>
      <x:c r="B99" s="23" t="str">
        <x:v>Settings</x:v>
      </x:c>
      <x:c r="C99" s="23" t="str">
        <x:v>Cache и sync</x:v>
      </x:c>
      <x:c r="D99" s="23" t="str">
        <x:v>settings section</x:v>
      </x:c>
      <x:c r="E99" s="23" t="str">
        <x:v>Specialized surface</x:v>
      </x:c>
      <x:c r="F99" s="23" t="str">
        <x:v>P2</x:v>
      </x:c>
      <x:c r="G99" s="23" t="str">
        <x:v>ConnectivityBanner; NotificationItem; Pagination; ReadOnlyBanner; RetryAction; SurfaceTitle</x:v>
      </x:c>
      <x:c r="H99" s="23" t="str">
        <x:v>syncing; cursor expired; scope changed</x:v>
      </x:c>
      <x:c r="I99" s="23" t="str">
        <x:v>VIS-001</x:v>
      </x:c>
      <x:c r="J99" s="23" t="str">
        <x:v>Mapped</x:v>
      </x:c>
      <x:c r="K99" s="23" t="str">
        <x:v>Pattern/component specification + state set</x:v>
      </x:c>
      <x:c r="L99" s="26" t="str">
        <x:v>Visual evidence pending</x:v>
      </x:c>
    </x:row>
    <x:row r="100">
      <x:c r="A100" s="73" t="str">
        <x:v>SCR-157</x:v>
      </x:c>
      <x:c r="B100" s="23" t="str">
        <x:v>Settings</x:v>
      </x:c>
      <x:c r="C100" s="23" t="str">
        <x:v>Подключение</x:v>
      </x:c>
      <x:c r="D100" s="23" t="str">
        <x:v>settings section</x:v>
      </x:c>
      <x:c r="E100" s="23" t="str">
        <x:v>Specialized surface</x:v>
      </x:c>
      <x:c r="F100" s="23" t="str">
        <x:v>P0</x:v>
      </x:c>
      <x:c r="G100" s="23" t="str">
        <x:v>ConnectivityBanner; NotificationItem; ReadOnlyBanner; RetryAction; SemanticStatus; SurfaceTitle</x:v>
      </x:c>
      <x:c r="H100" s="23" t="str">
        <x:v>unavailable; incompatible; certificate issue</x:v>
      </x:c>
      <x:c r="I100" s="23" t="str">
        <x:v>VIS-001</x:v>
      </x:c>
      <x:c r="J100" s="23" t="str">
        <x:v>Mapped</x:v>
      </x:c>
      <x:c r="K100" s="23" t="str">
        <x:v>Hi-fi frame + state set + keyboard walkthrough</x:v>
      </x:c>
      <x:c r="L100" s="26" t="str">
        <x:v>Visual evidence pending</x:v>
      </x:c>
    </x:row>
    <x:row r="101">
      <x:c r="A101" s="73" t="str">
        <x:v>SCR-158</x:v>
      </x:c>
      <x:c r="B101" s="23" t="str">
        <x:v>Settings</x:v>
      </x:c>
      <x:c r="C101" s="23" t="str">
        <x:v>Доступность</x:v>
      </x:c>
      <x:c r="D101" s="23" t="str">
        <x:v>settings section</x:v>
      </x:c>
      <x:c r="E101" s="23" t="str">
        <x:v>Specialized surface</x:v>
      </x:c>
      <x:c r="F101" s="23" t="str">
        <x:v>P2</x:v>
      </x:c>
      <x:c r="G101" s="23" t="str">
        <x:v>NotificationItem; SurfaceTitle</x:v>
      </x:c>
      <x:c r="H101" s="23" t="str">
        <x:v>restart required</x:v>
      </x:c>
      <x:c r="I101" s="23" t="str">
        <x:v>VIS-001</x:v>
      </x:c>
      <x:c r="J101" s="23" t="str">
        <x:v>Mapped</x:v>
      </x:c>
      <x:c r="K101" s="23" t="str">
        <x:v>Pattern/component specification + state set</x:v>
      </x:c>
      <x:c r="L101" s="26" t="str">
        <x:v>Visual evidence pending</x:v>
      </x:c>
    </x:row>
    <x:row r="102">
      <x:c r="A102" s="73" t="str">
        <x:v>SCR-159</x:v>
      </x:c>
      <x:c r="B102" s="23" t="str">
        <x:v>Settings</x:v>
      </x:c>
      <x:c r="C102" s="23" t="str">
        <x:v>Диагностика клиента</x:v>
      </x:c>
      <x:c r="D102" s="23" t="str">
        <x:v>settings/dialog</x:v>
      </x:c>
      <x:c r="E102" s="23" t="str">
        <x:v>Modal dialog</x:v>
      </x:c>
      <x:c r="F102" s="23" t="str">
        <x:v>P0</x:v>
      </x:c>
      <x:c r="G102" s="23" t="str">
        <x:v>ConnectivityBanner; DialogShell; FocusTrap; NotificationItem; PermissionState; ReadOnlyBanner; RetryAction; SurfaceTitle</x:v>
      </x:c>
      <x:c r="H102" s="23" t="str">
        <x:v>health unavailable; limited permission</x:v>
      </x:c>
      <x:c r="I102" s="23" t="str">
        <x:v>VIS-001</x:v>
      </x:c>
      <x:c r="J102" s="23" t="str">
        <x:v>Mapped</x:v>
      </x:c>
      <x:c r="K102" s="23" t="str">
        <x:v>Hi-fi frame + state set + keyboard walkthrough</x:v>
      </x:c>
      <x:c r="L102" s="26" t="str">
        <x:v>Visual evidence pending</x:v>
      </x:c>
    </x:row>
    <x:row r="103">
      <x:c r="A103" s="73" t="str">
        <x:v>SCR-161</x:v>
      </x:c>
      <x:c r="B103" s="23" t="str">
        <x:v>Settings</x:v>
      </x:c>
      <x:c r="C103" s="23" t="str">
        <x:v>Мои devices и sessions</x:v>
      </x:c>
      <x:c r="D103" s="23" t="str">
        <x:v>settings section</x:v>
      </x:c>
      <x:c r="E103" s="23" t="str">
        <x:v>Specialized surface</x:v>
      </x:c>
      <x:c r="F103" s="23" t="str">
        <x:v>P2</x:v>
      </x:c>
      <x:c r="G103" s="23" t="str">
        <x:v>DataList; NotificationItem; SurfaceTitle</x:v>
      </x:c>
      <x:c r="H103" s="23" t="str">
        <x:v>current session guard; revoked</x:v>
      </x:c>
      <x:c r="I103" s="23" t="str">
        <x:v>VIS-001</x:v>
      </x:c>
      <x:c r="J103" s="23" t="str">
        <x:v>Mapped</x:v>
      </x:c>
      <x:c r="K103" s="23" t="str">
        <x:v>Pattern/component specification + state set</x:v>
      </x:c>
      <x:c r="L103" s="26" t="str">
        <x:v>Visual evidence pending</x:v>
      </x:c>
    </x:row>
    <x:row r="104">
      <x:c r="A104" s="73" t="str">
        <x:v>SCR-170</x:v>
      </x:c>
      <x:c r="B104" s="23" t="str">
        <x:v>Admin</x:v>
      </x:c>
      <x:c r="C104" s="23" t="str">
        <x:v>Администрирование</x:v>
      </x:c>
      <x:c r="D104" s="23" t="str">
        <x:v>admin shell</x:v>
      </x:c>
      <x:c r="E104" s="23" t="str">
        <x:v>Application shell</x:v>
      </x:c>
      <x:c r="F104" s="23" t="str">
        <x:v>P2</x:v>
      </x:c>
      <x:c r="G104" s="23" t="str">
        <x:v>CommandBar; ConnectionStatus; DataList; NavigationRail; PermissionState; ProfileMenu; SurfaceTitle; TimelineHistory</x:v>
      </x:c>
      <x:c r="H104" s="23" t="str">
        <x:v>partial admin capabilities; forbidden</x:v>
      </x:c>
      <x:c r="I104" s="23" t="str">
        <x:v>VIS-001</x:v>
      </x:c>
      <x:c r="J104" s="23" t="str">
        <x:v>Mapped</x:v>
      </x:c>
      <x:c r="K104" s="23" t="str">
        <x:v>Pattern/component specification + state set</x:v>
      </x:c>
      <x:c r="L104" s="26" t="str">
        <x:v>Visual evidence pending</x:v>
      </x:c>
    </x:row>
    <x:row r="105">
      <x:c r="A105" s="73" t="str">
        <x:v>SCR-171</x:v>
      </x:c>
      <x:c r="B105" s="23" t="str">
        <x:v>Admin</x:v>
      </x:c>
      <x:c r="C105" s="23" t="str">
        <x:v>Пользователи</x:v>
      </x:c>
      <x:c r="D105" s="23" t="str">
        <x:v>admin page</x:v>
      </x:c>
      <x:c r="E105" s="23" t="str">
        <x:v>Page</x:v>
      </x:c>
      <x:c r="F105" s="23" t="str">
        <x:v>P0</x:v>
      </x:c>
      <x:c r="G105" s="23" t="str">
        <x:v>ConflictNotice; DataList; EmptyState; FieldLabel; FilterBar; FormLayout; PageLayout; PermissionState; SurfaceTitle; TimelineHistory; ValidationMessage</x:v>
      </x:c>
      <x:c r="H105" s="23" t="str">
        <x:v>empty; scope limited; conflict</x:v>
      </x:c>
      <x:c r="I105" s="23" t="str">
        <x:v>VIS-001</x:v>
      </x:c>
      <x:c r="J105" s="23" t="str">
        <x:v>Mapped</x:v>
      </x:c>
      <x:c r="K105" s="23" t="str">
        <x:v>Hi-fi frame + state set + keyboard walkthrough</x:v>
      </x:c>
      <x:c r="L105" s="26" t="str">
        <x:v>Visual evidence pending</x:v>
      </x:c>
    </x:row>
    <x:row r="106">
      <x:c r="A106" s="73" t="str">
        <x:v>SCR-172</x:v>
      </x:c>
      <x:c r="B106" s="23" t="str">
        <x:v>Admin</x:v>
      </x:c>
      <x:c r="C106" s="23" t="str">
        <x:v>Карточка пользователя</x:v>
      </x:c>
      <x:c r="D106" s="23" t="str">
        <x:v>admin page</x:v>
      </x:c>
      <x:c r="E106" s="23" t="str">
        <x:v>Page</x:v>
      </x:c>
      <x:c r="F106" s="23" t="str">
        <x:v>P0</x:v>
      </x:c>
      <x:c r="G106" s="23" t="str">
        <x:v>ConflictNotice; DataList; FieldLabel; FileLocationView; FormLayout; InspectorPanel; PageLayout; PermissionState; SurfaceTitle; TimelineHistory; ValidationMessage</x:v>
      </x:c>
      <x:c r="H106" s="23" t="str">
        <x:v>partial; blocked; deactivated; conflict</x:v>
      </x:c>
      <x:c r="I106" s="23" t="str">
        <x:v>VIS-001</x:v>
      </x:c>
      <x:c r="J106" s="23" t="str">
        <x:v>Mapped</x:v>
      </x:c>
      <x:c r="K106" s="23" t="str">
        <x:v>Hi-fi frame + state set + keyboard walkthrough</x:v>
      </x:c>
      <x:c r="L106" s="26" t="str">
        <x:v>Visual evidence pending</x:v>
      </x:c>
    </x:row>
    <x:row r="107">
      <x:c r="A107" s="73" t="str">
        <x:v>SCR-173</x:v>
      </x:c>
      <x:c r="B107" s="23" t="str">
        <x:v>Admin</x:v>
      </x:c>
      <x:c r="C107" s="23" t="str">
        <x:v>Создание/активация пользователя</x:v>
      </x:c>
      <x:c r="D107" s="23" t="str">
        <x:v>admin page/dialog</x:v>
      </x:c>
      <x:c r="E107" s="23" t="str">
        <x:v>Modal dialog</x:v>
      </x:c>
      <x:c r="F107" s="23" t="str">
        <x:v>P2</x:v>
      </x:c>
      <x:c r="G107" s="23" t="str">
        <x:v>DataList; DateTimePicker; DialogShell; ErrorMessage; FieldLabel; FileLocationView; FocusTrap; FormLayout; PageLayout; SurfaceTitle; TimelineHistory; ValidationMessage</x:v>
      </x:c>
      <x:c r="H107" s="23" t="str">
        <x:v>duplicate login/email; validation</x:v>
      </x:c>
      <x:c r="I107" s="23" t="str">
        <x:v>VIS-001</x:v>
      </x:c>
      <x:c r="J107" s="23" t="str">
        <x:v>Mapped</x:v>
      </x:c>
      <x:c r="K107" s="23" t="str">
        <x:v>Pattern/component specification + state set</x:v>
      </x:c>
      <x:c r="L107" s="26" t="str">
        <x:v>Visual evidence pending</x:v>
      </x:c>
    </x:row>
    <x:row r="108">
      <x:c r="A108" s="73" t="str">
        <x:v>SCR-174</x:v>
      </x:c>
      <x:c r="B108" s="23" t="str">
        <x:v>Admin</x:v>
      </x:c>
      <x:c r="C108" s="23" t="str">
        <x:v>Block/deactivate user</x:v>
      </x:c>
      <x:c r="D108" s="23" t="str">
        <x:v>critical dialog</x:v>
      </x:c>
      <x:c r="E108" s="23" t="str">
        <x:v>Modal dialog</x:v>
      </x:c>
      <x:c r="F108" s="23" t="str">
        <x:v>P0</x:v>
      </x:c>
      <x:c r="G108" s="23" t="str">
        <x:v>ConflictNotice; DataList; DialogShell; ErrorMessage; FocusTrap; PermissionState; SemanticStatus; SurfaceTitle; TimelineHistory</x:v>
      </x:c>
      <x:c r="H108" s="23" t="str">
        <x:v>self-lockout; last admin; conflict</x:v>
      </x:c>
      <x:c r="I108" s="23" t="str">
        <x:v>VIS-001</x:v>
      </x:c>
      <x:c r="J108" s="23" t="str">
        <x:v>Mapped</x:v>
      </x:c>
      <x:c r="K108" s="23" t="str">
        <x:v>Hi-fi frame + state set + keyboard walkthrough</x:v>
      </x:c>
      <x:c r="L108" s="26" t="str">
        <x:v>Visual evidence pending</x:v>
      </x:c>
    </x:row>
    <x:row r="109">
      <x:c r="A109" s="73" t="str">
        <x:v>SCR-175</x:v>
      </x:c>
      <x:c r="B109" s="23" t="str">
        <x:v>Admin</x:v>
      </x:c>
      <x:c r="C109" s="23" t="str">
        <x:v>Отделы</x:v>
      </x:c>
      <x:c r="D109" s="23" t="str">
        <x:v>admin page</x:v>
      </x:c>
      <x:c r="E109" s="23" t="str">
        <x:v>Page</x:v>
      </x:c>
      <x:c r="F109" s="23" t="str">
        <x:v>P0</x:v>
      </x:c>
      <x:c r="G109" s="23" t="str">
        <x:v>ConflictNotice; DataList; FieldLabel; FormLayout; PageLayout; SurfaceTitle; TimelineHistory; ValidationMessage</x:v>
      </x:c>
      <x:c r="H109" s="23" t="str">
        <x:v>cycle; active children; conflict</x:v>
      </x:c>
      <x:c r="I109" s="23" t="str">
        <x:v>VIS-001</x:v>
      </x:c>
      <x:c r="J109" s="23" t="str">
        <x:v>Mapped</x:v>
      </x:c>
      <x:c r="K109" s="23" t="str">
        <x:v>Hi-fi frame + state set + keyboard walkthrough</x:v>
      </x:c>
      <x:c r="L109" s="26" t="str">
        <x:v>Visual evidence pending</x:v>
      </x:c>
    </x:row>
    <x:row r="110">
      <x:c r="A110" s="73" t="str">
        <x:v>SCR-176</x:v>
      </x:c>
      <x:c r="B110" s="23" t="str">
        <x:v>Admin</x:v>
      </x:c>
      <x:c r="C110" s="23" t="str">
        <x:v>Редактор отдела</x:v>
      </x:c>
      <x:c r="D110" s="23" t="str">
        <x:v>admin page/dialog</x:v>
      </x:c>
      <x:c r="E110" s="23" t="str">
        <x:v>Modal dialog</x:v>
      </x:c>
      <x:c r="F110" s="23" t="str">
        <x:v>P0</x:v>
      </x:c>
      <x:c r="G110" s="23" t="str">
        <x:v>ConflictNotice; DataList; DialogShell; FieldLabel; FocusTrap; FormLayout; PageLayout; PermissionState; SemanticStatus; SurfaceTitle; TimelineHistory; ValidationMessage</x:v>
      </x:c>
      <x:c r="H110" s="23" t="str">
        <x:v>cycle; hidden parent; conflict</x:v>
      </x:c>
      <x:c r="I110" s="23" t="str">
        <x:v>VIS-001</x:v>
      </x:c>
      <x:c r="J110" s="23" t="str">
        <x:v>Mapped</x:v>
      </x:c>
      <x:c r="K110" s="23" t="str">
        <x:v>Hi-fi frame + state set + keyboard walkthrough</x:v>
      </x:c>
      <x:c r="L110" s="26" t="str">
        <x:v>Visual evidence pending</x:v>
      </x:c>
    </x:row>
    <x:row r="111">
      <x:c r="A111" s="73" t="str">
        <x:v>SCR-177</x:v>
      </x:c>
      <x:c r="B111" s="23" t="str">
        <x:v>Admin</x:v>
      </x:c>
      <x:c r="C111" s="23" t="str">
        <x:v>Роли и permissions</x:v>
      </x:c>
      <x:c r="D111" s="23" t="str">
        <x:v>admin page</x:v>
      </x:c>
      <x:c r="E111" s="23" t="str">
        <x:v>Page</x:v>
      </x:c>
      <x:c r="F111" s="23" t="str">
        <x:v>P0</x:v>
      </x:c>
      <x:c r="G111" s="23" t="str">
        <x:v>ConflictNotice; DataList; FieldLabel; FormLayout; PageLayout; PermissionState; ProjectPicker; SurfaceTitle; TimelineHistory; ValidationMessage</x:v>
      </x:c>
      <x:c r="H111" s="23" t="str">
        <x:v>system role immutable; conflict</x:v>
      </x:c>
      <x:c r="I111" s="23" t="str">
        <x:v>VIS-001</x:v>
      </x:c>
      <x:c r="J111" s="23" t="str">
        <x:v>Mapped</x:v>
      </x:c>
      <x:c r="K111" s="23" t="str">
        <x:v>Hi-fi frame + state set + keyboard walkthrough</x:v>
      </x:c>
      <x:c r="L111" s="26" t="str">
        <x:v>Visual evidence pending</x:v>
      </x:c>
    </x:row>
    <x:row r="112">
      <x:c r="A112" s="73" t="str">
        <x:v>SCR-178</x:v>
      </x:c>
      <x:c r="B112" s="23" t="str">
        <x:v>Admin</x:v>
      </x:c>
      <x:c r="C112" s="23" t="str">
        <x:v>Редактор role permissions</x:v>
      </x:c>
      <x:c r="D112" s="23" t="str">
        <x:v>admin page/dialog</x:v>
      </x:c>
      <x:c r="E112" s="23" t="str">
        <x:v>Modal dialog</x:v>
      </x:c>
      <x:c r="F112" s="23" t="str">
        <x:v>P0</x:v>
      </x:c>
      <x:c r="G112" s="23" t="str">
        <x:v>ConflictNotice; DataList; DialogShell; FieldLabel; FocusTrap; FormLayout; PageLayout; PermissionState; SurfaceTitle; TimelineHistory; ValidationMessage</x:v>
      </x:c>
      <x:c r="H112" s="23" t="str">
        <x:v>dangerous permission; conflict</x:v>
      </x:c>
      <x:c r="I112" s="23" t="str">
        <x:v>VIS-001</x:v>
      </x:c>
      <x:c r="J112" s="23" t="str">
        <x:v>Mapped</x:v>
      </x:c>
      <x:c r="K112" s="23" t="str">
        <x:v>Hi-fi frame + state set + keyboard walkthrough</x:v>
      </x:c>
      <x:c r="L112" s="26" t="str">
        <x:v>Visual evidence pending</x:v>
      </x:c>
    </x:row>
    <x:row r="113">
      <x:c r="A113" s="73" t="str">
        <x:v>SCR-179</x:v>
      </x:c>
      <x:c r="B113" s="23" t="str">
        <x:v>Admin</x:v>
      </x:c>
      <x:c r="C113" s="23" t="str">
        <x:v>Effective permission diagnostics</x:v>
      </x:c>
      <x:c r="D113" s="23" t="str">
        <x:v>admin panel</x:v>
      </x:c>
      <x:c r="E113" s="23" t="str">
        <x:v>Panel</x:v>
      </x:c>
      <x:c r="F113" s="23" t="str">
        <x:v>P2</x:v>
      </x:c>
      <x:c r="G113" s="23" t="str">
        <x:v>DataList; InspectorPanel; PermissionState; SurfaceTitle; TimelineHistory</x:v>
      </x:c>
      <x:c r="H113" s="23" t="str">
        <x:v>hidden object; scope changed</x:v>
      </x:c>
      <x:c r="I113" s="23" t="str">
        <x:v>VIS-001</x:v>
      </x:c>
      <x:c r="J113" s="23" t="str">
        <x:v>Mapped</x:v>
      </x:c>
      <x:c r="K113" s="23" t="str">
        <x:v>Pattern/component specification + state set</x:v>
      </x:c>
      <x:c r="L113" s="26" t="str">
        <x:v>Visual evidence pending</x:v>
      </x:c>
    </x:row>
    <x:row r="114">
      <x:c r="A114" s="73" t="str">
        <x:v>SCR-180</x:v>
      </x:c>
      <x:c r="B114" s="23" t="str">
        <x:v>Admin</x:v>
      </x:c>
      <x:c r="C114" s="23" t="str">
        <x:v>Устройства</x:v>
      </x:c>
      <x:c r="D114" s="23" t="str">
        <x:v>admin page</x:v>
      </x:c>
      <x:c r="E114" s="23" t="str">
        <x:v>Page</x:v>
      </x:c>
      <x:c r="F114" s="23" t="str">
        <x:v>P2</x:v>
      </x:c>
      <x:c r="G114" s="23" t="str">
        <x:v>DataList; FilterBar; PageLayout; PermissionState; SemanticStatus; SurfaceTitle; TimelineHistory</x:v>
      </x:c>
      <x:c r="H114" s="23" t="str">
        <x:v>stale heartbeat; revoked</x:v>
      </x:c>
      <x:c r="I114" s="23" t="str">
        <x:v>VIS-001</x:v>
      </x:c>
      <x:c r="J114" s="23" t="str">
        <x:v>Mapped</x:v>
      </x:c>
      <x:c r="K114" s="23" t="str">
        <x:v>Pattern/component specification + state set</x:v>
      </x:c>
      <x:c r="L114" s="26" t="str">
        <x:v>Visual evidence pending</x:v>
      </x:c>
    </x:row>
    <x:row r="115">
      <x:c r="A115" s="73" t="str">
        <x:v>SCR-181</x:v>
      </x:c>
      <x:c r="B115" s="23" t="str">
        <x:v>Admin</x:v>
      </x:c>
      <x:c r="C115" s="23" t="str">
        <x:v>Sessions и login attempts</x:v>
      </x:c>
      <x:c r="D115" s="23" t="str">
        <x:v>admin page</x:v>
      </x:c>
      <x:c r="E115" s="23" t="str">
        <x:v>Page</x:v>
      </x:c>
      <x:c r="F115" s="23" t="str">
        <x:v>P2</x:v>
      </x:c>
      <x:c r="G115" s="23" t="str">
        <x:v>DataList; FilterBar; PageLayout; PermissionState; SurfaceTitle; TimelineHistory</x:v>
      </x:c>
      <x:c r="H115" s="23" t="str">
        <x:v>expired; compromised; partial</x:v>
      </x:c>
      <x:c r="I115" s="23" t="str">
        <x:v>VIS-001</x:v>
      </x:c>
      <x:c r="J115" s="23" t="str">
        <x:v>Mapped</x:v>
      </x:c>
      <x:c r="K115" s="23" t="str">
        <x:v>Pattern/component specification + state set</x:v>
      </x:c>
      <x:c r="L115" s="26" t="str">
        <x:v>Visual evidence pending</x:v>
      </x:c>
    </x:row>
    <x:row r="116">
      <x:c r="A116" s="73" t="str">
        <x:v>SCR-182</x:v>
      </x:c>
      <x:c r="B116" s="23" t="str">
        <x:v>Admin</x:v>
      </x:c>
      <x:c r="C116" s="23" t="str">
        <x:v>Сетевые ресурсы</x:v>
      </x:c>
      <x:c r="D116" s="23" t="str">
        <x:v>admin page</x:v>
      </x:c>
      <x:c r="E116" s="23" t="str">
        <x:v>Page</x:v>
      </x:c>
      <x:c r="F116" s="23" t="str">
        <x:v>P0</x:v>
      </x:c>
      <x:c r="G116" s="23" t="str">
        <x:v>ConflictNotice; ConnectivityBanner; DataList; FieldLabel; FormLayout; PageLayout; ReadOnlyBanner; RetryAction; SurfaceTitle; TimelineHistory; ValidationMessage</x:v>
      </x:c>
      <x:c r="H116" s="23" t="str">
        <x:v>unsafe root; unavailable; conflict</x:v>
      </x:c>
      <x:c r="I116" s="23" t="str">
        <x:v>VIS-001</x:v>
      </x:c>
      <x:c r="J116" s="23" t="str">
        <x:v>Mapped</x:v>
      </x:c>
      <x:c r="K116" s="23" t="str">
        <x:v>Hi-fi frame + state set + keyboard walkthrough</x:v>
      </x:c>
      <x:c r="L116" s="26" t="str">
        <x:v>Visual evidence pending</x:v>
      </x:c>
    </x:row>
    <x:row r="117">
      <x:c r="A117" s="73" t="str">
        <x:v>SCR-183</x:v>
      </x:c>
      <x:c r="B117" s="23" t="str">
        <x:v>Admin</x:v>
      </x:c>
      <x:c r="C117" s="23" t="str">
        <x:v>Состояние системы</x:v>
      </x:c>
      <x:c r="D117" s="23" t="str">
        <x:v>admin page</x:v>
      </x:c>
      <x:c r="E117" s="23" t="str">
        <x:v>Page</x:v>
      </x:c>
      <x:c r="F117" s="23" t="str">
        <x:v>P0</x:v>
      </x:c>
      <x:c r="G117" s="23" t="str">
        <x:v>ConnectivityBanner; DataList; PageLayout; ReadOnlyBanner; RetryAction; SemanticStatus; SurfaceTitle; TimelineHistory</x:v>
      </x:c>
      <x:c r="H117" s="23" t="str">
        <x:v>DB unavailable; storage full; dependency down</x:v>
      </x:c>
      <x:c r="I117" s="23" t="str">
        <x:v>VIS-001</x:v>
      </x:c>
      <x:c r="J117" s="23" t="str">
        <x:v>Mapped</x:v>
      </x:c>
      <x:c r="K117" s="23" t="str">
        <x:v>Hi-fi frame + state set + keyboard walkthrough</x:v>
      </x:c>
      <x:c r="L117" s="26" t="str">
        <x:v>Visual evidence pending</x:v>
      </x:c>
    </x:row>
    <x:row r="118">
      <x:c r="A118" s="73" t="str">
        <x:v>SCR-184</x:v>
      </x:c>
      <x:c r="B118" s="23" t="str">
        <x:v>Admin</x:v>
      </x:c>
      <x:c r="C118" s="23" t="str">
        <x:v>Фоновые задания</x:v>
      </x:c>
      <x:c r="D118" s="23" t="str">
        <x:v>admin page</x:v>
      </x:c>
      <x:c r="E118" s="23" t="str">
        <x:v>Page</x:v>
      </x:c>
      <x:c r="F118" s="23" t="str">
        <x:v>P0</x:v>
      </x:c>
      <x:c r="G118" s="23" t="str">
        <x:v>ConflictNotice; ConnectivityBanner; DataList; ErrorMessage; PageLayout; ReadOnlyBanner; RetryAction; SurfaceTitle; TimelineHistory</x:v>
      </x:c>
      <x:c r="H118" s="23" t="str">
        <x:v>running; failed; lease conflict</x:v>
      </x:c>
      <x:c r="I118" s="23" t="str">
        <x:v>VIS-001</x:v>
      </x:c>
      <x:c r="J118" s="23" t="str">
        <x:v>Mapped</x:v>
      </x:c>
      <x:c r="K118" s="23" t="str">
        <x:v>Hi-fi frame + state set + keyboard walkthrough</x:v>
      </x:c>
      <x:c r="L118" s="26" t="str">
        <x:v>Visual evidence pending</x:v>
      </x:c>
    </x:row>
    <x:row r="119">
      <x:c r="A119" s="73" t="str">
        <x:v>SCR-185</x:v>
      </x:c>
      <x:c r="B119" s="23" t="str">
        <x:v>Admin</x:v>
      </x:c>
      <x:c r="C119" s="23" t="str">
        <x:v>Резервные копии</x:v>
      </x:c>
      <x:c r="D119" s="23" t="str">
        <x:v>admin page</x:v>
      </x:c>
      <x:c r="E119" s="23" t="str">
        <x:v>Page</x:v>
      </x:c>
      <x:c r="F119" s="23" t="str">
        <x:v>P2</x:v>
      </x:c>
      <x:c r="G119" s="23" t="str">
        <x:v>ConnectivityBanner; DataList; ErrorMessage; PageLayout; ReadOnlyBanner; RetryAction; SemanticStatus; SurfaceTitle; TimelineHistory</x:v>
      </x:c>
      <x:c r="H119" s="23" t="str">
        <x:v>running; failed; approval required</x:v>
      </x:c>
      <x:c r="I119" s="23" t="str">
        <x:v>VIS-001</x:v>
      </x:c>
      <x:c r="J119" s="23" t="str">
        <x:v>Mapped</x:v>
      </x:c>
      <x:c r="K119" s="23" t="str">
        <x:v>Pattern/component specification + state set</x:v>
      </x:c>
      <x:c r="L119" s="26" t="str">
        <x:v>Visual evidence pending</x:v>
      </x:c>
    </x:row>
    <x:row r="120">
      <x:c r="A120" s="73" t="str">
        <x:v>SCR-186</x:v>
      </x:c>
      <x:c r="B120" s="23" t="str">
        <x:v>Admin</x:v>
      </x:c>
      <x:c r="C120" s="23" t="str">
        <x:v>Audit</x:v>
      </x:c>
      <x:c r="D120" s="23" t="str">
        <x:v>admin page</x:v>
      </x:c>
      <x:c r="E120" s="23" t="str">
        <x:v>Page</x:v>
      </x:c>
      <x:c r="F120" s="23" t="str">
        <x:v>P2</x:v>
      </x:c>
      <x:c r="G120" s="23" t="str">
        <x:v>DataList; FilterBar; LoadingState; PageLayout; PermissionState; ProgressIndicator; RedactionMarker; SearchBox; SurfaceTitle; TimelineHistory</x:v>
      </x:c>
      <x:c r="H120" s="23" t="str">
        <x:v>large range; redaction; background export</x:v>
      </x:c>
      <x:c r="I120" s="23" t="str">
        <x:v>VIS-001</x:v>
      </x:c>
      <x:c r="J120" s="23" t="str">
        <x:v>Mapped</x:v>
      </x:c>
      <x:c r="K120" s="23" t="str">
        <x:v>Pattern/component specification + state set</x:v>
      </x:c>
      <x:c r="L120" s="26" t="str">
        <x:v>Visual evidence pending</x:v>
      </x:c>
    </x:row>
    <x:row r="121">
      <x:c r="A121" s="73" t="str">
        <x:v>SCR-187</x:v>
      </x:c>
      <x:c r="B121" s="23" t="str">
        <x:v>Admin</x:v>
      </x:c>
      <x:c r="C121" s="23" t="str">
        <x:v>Organization settings / feature flags</x:v>
      </x:c>
      <x:c r="D121" s="23" t="str">
        <x:v>admin page</x:v>
      </x:c>
      <x:c r="E121" s="23" t="str">
        <x:v>Page</x:v>
      </x:c>
      <x:c r="F121" s="23" t="str">
        <x:v>P0</x:v>
      </x:c>
      <x:c r="G121" s="23" t="str">
        <x:v>ConflictNotice; DataList; FieldLabel; FormLayout; PageLayout; SurfaceTitle; TimelineHistory; ValidationMessage</x:v>
      </x:c>
      <x:c r="H121" s="23" t="str">
        <x:v>client compatibility; conflict</x:v>
      </x:c>
      <x:c r="I121" s="23" t="str">
        <x:v>VIS-001</x:v>
      </x:c>
      <x:c r="J121" s="23" t="str">
        <x:v>Mapped</x:v>
      </x:c>
      <x:c r="K121" s="23" t="str">
        <x:v>Hi-fi frame + state set + keyboard walkthrough</x:v>
      </x:c>
      <x:c r="L121" s="26" t="str">
        <x:v>Visual evidence pending</x:v>
      </x:c>
    </x:row>
    <x:row r="122">
      <x:c r="A122" s="73" t="str">
        <x:v>SCR-188</x:v>
      </x:c>
      <x:c r="B122" s="23" t="str">
        <x:v>Admin</x:v>
      </x:c>
      <x:c r="C122" s="23" t="str">
        <x:v>Maintenance / restore plan</x:v>
      </x:c>
      <x:c r="D122" s="23" t="str">
        <x:v>critical admin page/dialog</x:v>
      </x:c>
      <x:c r="E122" s="23" t="str">
        <x:v>Modal dialog</x:v>
      </x:c>
      <x:c r="F122" s="23" t="str">
        <x:v>P0</x:v>
      </x:c>
      <x:c r="G122" s="23" t="str">
        <x:v>ConflictNotice; ConnectivityBanner; DataList; DialogShell; ErrorMessage; FocusTrap; PageLayout; ReadOnlyBanner; RetryAction; SemanticStatus; SurfaceTitle; TimelineHistory</x:v>
      </x:c>
      <x:c r="H122" s="23" t="str">
        <x:v>approval missing; active job; conflict</x:v>
      </x:c>
      <x:c r="I122" s="23" t="str">
        <x:v>VIS-001</x:v>
      </x:c>
      <x:c r="J122" s="23" t="str">
        <x:v>Mapped</x:v>
      </x:c>
      <x:c r="K122" s="23" t="str">
        <x:v>Hi-fi frame + state set + keyboard walkthrough</x:v>
      </x:c>
      <x:c r="L122" s="26" t="str">
        <x:v>Visual evidence pending</x:v>
      </x:c>
    </x:row>
    <x:row r="123">
      <x:c r="A123" s="73" t="str">
        <x:v>SCR-200</x:v>
      </x:c>
      <x:c r="B123" s="23" t="str">
        <x:v>Shared</x:v>
      </x:c>
      <x:c r="C123" s="23" t="str">
        <x:v>Общий detail pane</x:v>
      </x:c>
      <x:c r="D123" s="23" t="str">
        <x:v>side panel</x:v>
      </x:c>
      <x:c r="E123" s="23" t="str">
        <x:v>Details inspector</x:v>
      </x:c>
      <x:c r="F123" s="23" t="str">
        <x:v>P0</x:v>
      </x:c>
      <x:c r="G123" s="23" t="str">
        <x:v>InspectorPanel; LoadingState; PermissionState; ProgressIndicator; SearchBox; SurfaceTitle</x:v>
      </x:c>
      <x:c r="H123" s="23" t="str">
        <x:v>loading; stale; partial</x:v>
      </x:c>
      <x:c r="I123" s="23" t="str">
        <x:v>VIS-001</x:v>
      </x:c>
      <x:c r="J123" s="23" t="str">
        <x:v>Mapped</x:v>
      </x:c>
      <x:c r="K123" s="23" t="str">
        <x:v>Hi-fi frame + state set + keyboard walkthrough</x:v>
      </x:c>
      <x:c r="L123" s="26" t="str">
        <x:v>Visual evidence pending</x:v>
      </x:c>
    </x:row>
    <x:row r="124">
      <x:c r="A124" s="73" t="str">
        <x:v>SCR-201</x:v>
      </x:c>
      <x:c r="B124" s="23" t="str">
        <x:v>Shared</x:v>
      </x:c>
      <x:c r="C124" s="23" t="str">
        <x:v>Общая история объекта</x:v>
      </x:c>
      <x:c r="D124" s="23" t="str">
        <x:v>panel/page</x:v>
      </x:c>
      <x:c r="E124" s="23" t="str">
        <x:v>Panel</x:v>
      </x:c>
      <x:c r="F124" s="23" t="str">
        <x:v>P0</x:v>
      </x:c>
      <x:c r="G124" s="23" t="str">
        <x:v>DataList; InspectorPanel; PageLayout; PermissionState; RedactionMarker; SurfaceTitle; TimelineHistory</x:v>
      </x:c>
      <x:c r="H124" s="23" t="str">
        <x:v>redacted; access revoked</x:v>
      </x:c>
      <x:c r="I124" s="23" t="str">
        <x:v>VIS-001</x:v>
      </x:c>
      <x:c r="J124" s="23" t="str">
        <x:v>Mapped</x:v>
      </x:c>
      <x:c r="K124" s="23" t="str">
        <x:v>Hi-fi frame + state set + keyboard walkthrough</x:v>
      </x:c>
      <x:c r="L124" s="26" t="str">
        <x:v>Visual evidence pending</x:v>
      </x:c>
    </x:row>
    <x:row r="125">
      <x:c r="A125" s="73" t="str">
        <x:v>SCR-202</x:v>
      </x:c>
      <x:c r="B125" s="23" t="str">
        <x:v>Shared</x:v>
      </x:c>
      <x:c r="C125" s="23" t="str">
        <x:v>Общие comments</x:v>
      </x:c>
      <x:c r="D125" s="23" t="str">
        <x:v>panel</x:v>
      </x:c>
      <x:c r="E125" s="23" t="str">
        <x:v>Panel</x:v>
      </x:c>
      <x:c r="F125" s="23" t="str">
        <x:v>P0</x:v>
      </x:c>
      <x:c r="G125" s="23" t="str">
        <x:v>CommentThread; ConnectivityBanner; InspectorPanel; PermissionState; ReadOnlyBanner; RetryAction; SurfaceTitle</x:v>
      </x:c>
      <x:c r="H125" s="23" t="str">
        <x:v>offline; tombstone; partial</x:v>
      </x:c>
      <x:c r="I125" s="23" t="str">
        <x:v>VIS-001</x:v>
      </x:c>
      <x:c r="J125" s="23" t="str">
        <x:v>Mapped</x:v>
      </x:c>
      <x:c r="K125" s="23" t="str">
        <x:v>Hi-fi frame + state set + keyboard walkthrough</x:v>
      </x:c>
      <x:c r="L125" s="26" t="str">
        <x:v>Visual evidence pending</x:v>
      </x:c>
    </x:row>
    <x:row r="126">
      <x:c r="A126" s="73" t="str">
        <x:v>SCR-203</x:v>
      </x:c>
      <x:c r="B126" s="23" t="str">
        <x:v>Shared</x:v>
      </x:c>
      <x:c r="C126" s="23" t="str">
        <x:v>Связи и tags</x:v>
      </x:c>
      <x:c r="D126" s="23" t="str">
        <x:v>panel/dialog</x:v>
      </x:c>
      <x:c r="E126" s="23" t="str">
        <x:v>Panel</x:v>
      </x:c>
      <x:c r="F126" s="23" t="str">
        <x:v>P0</x:v>
      </x:c>
      <x:c r="G126" s="23" t="str">
        <x:v>DialogShell; FocusTrap; InspectorPanel; PermissionState; SurfaceTitle</x:v>
      </x:c>
      <x:c r="H126" s="23" t="str">
        <x:v>duplicate; target hidden</x:v>
      </x:c>
      <x:c r="I126" s="23" t="str">
        <x:v>VIS-001</x:v>
      </x:c>
      <x:c r="J126" s="23" t="str">
        <x:v>Mapped</x:v>
      </x:c>
      <x:c r="K126" s="23" t="str">
        <x:v>Hi-fi frame + state set + keyboard walkthrough</x:v>
      </x:c>
      <x:c r="L126" s="26" t="str">
        <x:v>Visual evidence pending</x:v>
      </x:c>
    </x:row>
    <x:row r="127">
      <x:c r="A127" s="73" t="str">
        <x:v>SCR-204</x:v>
      </x:c>
      <x:c r="B127" s="23" t="str">
        <x:v>Shared</x:v>
      </x:c>
      <x:c r="C127" s="23" t="str">
        <x:v>Почему действие недоступно</x:v>
      </x:c>
      <x:c r="D127" s="23" t="str">
        <x:v>popover</x:v>
      </x:c>
      <x:c r="E127" s="23" t="str">
        <x:v>Popover</x:v>
      </x:c>
      <x:c r="F127" s="23" t="str">
        <x:v>P0</x:v>
      </x:c>
      <x:c r="G127" s="23" t="str">
        <x:v>PermissionState; PopoverSurface; SurfaceTitle</x:v>
      </x:c>
      <x:c r="H127" s="23" t="str">
        <x:v>reason stale; server deny</x:v>
      </x:c>
      <x:c r="I127" s="23" t="str">
        <x:v>VIS-001</x:v>
      </x:c>
      <x:c r="J127" s="23" t="str">
        <x:v>Mapped</x:v>
      </x:c>
      <x:c r="K127" s="23" t="str">
        <x:v>Hi-fi frame + state set + keyboard walkthrough</x:v>
      </x:c>
      <x:c r="L127" s="26" t="str">
        <x:v>Visual evidence pending</x:v>
      </x:c>
    </x:row>
    <x:row r="128">
      <x:c r="A128" s="73" t="str">
        <x:v>SCR-205</x:v>
      </x:c>
      <x:c r="B128" s="23" t="str">
        <x:v>Shared</x:v>
      </x:c>
      <x:c r="C128" s="23" t="str">
        <x:v>Connection status</x:v>
      </x:c>
      <x:c r="D128" s="23" t="str">
        <x:v>persistent banner/status</x:v>
      </x:c>
      <x:c r="E128" s="23" t="str">
        <x:v>Specialized surface</x:v>
      </x:c>
      <x:c r="F128" s="23" t="str">
        <x:v>P0</x:v>
      </x:c>
      <x:c r="G128" s="23" t="str">
        <x:v>ConnectivityBanner; ReadOnlyBanner; RetryAction; SemanticStatus; SurfaceTitle</x:v>
      </x:c>
      <x:c r="H128" s="23" t="str">
        <x:v>offline; maintenance; storage full</x:v>
      </x:c>
      <x:c r="I128" s="23" t="str">
        <x:v>VIS-001</x:v>
      </x:c>
      <x:c r="J128" s="23" t="str">
        <x:v>Mapped</x:v>
      </x:c>
      <x:c r="K128" s="23" t="str">
        <x:v>Hi-fi frame + state set + keyboard walkthrough</x:v>
      </x:c>
      <x:c r="L128" s="26" t="str">
        <x:v>Visual evidence pending</x:v>
      </x:c>
    </x:row>
    <x:row r="129">
      <x:c r="A129" s="73" t="str">
        <x:v>SCR-207</x:v>
      </x:c>
      <x:c r="B129" s="23" t="str">
        <x:v>Shared</x:v>
      </x:c>
      <x:c r="C129" s="23" t="str">
        <x:v>Общее context menu</x:v>
      </x:c>
      <x:c r="D129" s="23" t="str">
        <x:v>context menu</x:v>
      </x:c>
      <x:c r="E129" s="23" t="str">
        <x:v>Context menu</x:v>
      </x:c>
      <x:c r="F129" s="23" t="str">
        <x:v>P0</x:v>
      </x:c>
      <x:c r="G129" s="23" t="str">
        <x:v>ContextMenu; PermissionState; SurfaceTitle</x:v>
      </x:c>
      <x:c r="H129" s="23" t="str">
        <x:v>mixed selection; disabled reason</x:v>
      </x:c>
      <x:c r="I129" s="23" t="str">
        <x:v>VIS-001</x:v>
      </x:c>
      <x:c r="J129" s="23" t="str">
        <x:v>Mapped</x:v>
      </x:c>
      <x:c r="K129" s="23" t="str">
        <x:v>Hi-fi frame + state set + keyboard walkthrough</x:v>
      </x:c>
      <x:c r="L129" s="26" t="str">
        <x:v>Visual evidence pending</x:v>
      </x:c>
    </x:row>
    <x:row r="130">
      <x:c r="A130" s="73" t="str">
        <x:v>SCR-208</x:v>
      </x:c>
      <x:c r="B130" s="23" t="str">
        <x:v>Shared</x:v>
      </x:c>
      <x:c r="C130" s="23" t="str">
        <x:v>Общее подтверждение</x:v>
      </x:c>
      <x:c r="D130" s="23" t="str">
        <x:v>dialog</x:v>
      </x:c>
      <x:c r="E130" s="23" t="str">
        <x:v>Modal dialog</x:v>
      </x:c>
      <x:c r="F130" s="23" t="str">
        <x:v>P0</x:v>
      </x:c>
      <x:c r="G130" s="23" t="str">
        <x:v>ConflictNotice; DialogShell; ErrorMessage; FocusTrap; SemanticStatus; SurfaceTitle</x:v>
      </x:c>
      <x:c r="H130" s="23" t="str">
        <x:v>state changed while open</x:v>
      </x:c>
      <x:c r="I130" s="23" t="str">
        <x:v>VIS-001</x:v>
      </x:c>
      <x:c r="J130" s="23" t="str">
        <x:v>Mapped</x:v>
      </x:c>
      <x:c r="K130" s="23" t="str">
        <x:v>Hi-fi frame + state set + keyboard walkthrough</x:v>
      </x:c>
      <x:c r="L130" s="26" t="str">
        <x:v>Visual evidence pending</x:v>
      </x:c>
    </x:row>
    <x:row r="131">
      <x:c r="A131" s="73" t="str">
        <x:v>SCR-209</x:v>
      </x:c>
      <x:c r="B131" s="23" t="str">
        <x:v>Shared</x:v>
      </x:c>
      <x:c r="C131" s="23" t="str">
        <x:v>Детали ошибки / background operation</x:v>
      </x:c>
      <x:c r="D131" s="23" t="str">
        <x:v>dialog/panel</x:v>
      </x:c>
      <x:c r="E131" s="23" t="str">
        <x:v>Panel</x:v>
      </x:c>
      <x:c r="F131" s="23" t="str">
        <x:v>P0</x:v>
      </x:c>
      <x:c r="G131" s="23" t="str">
        <x:v>ConnectivityBanner; DialogShell; ErrorMessage; FocusTrap; InspectorPanel; LoadingState; ProgressIndicator; ReadOnlyBanner; RetryAction; SurfaceTitle</x:v>
      </x:c>
      <x:c r="H131" s="23" t="str">
        <x:v>recoverable; unrecoverable; running</x:v>
      </x:c>
      <x:c r="I131" s="23" t="str">
        <x:v>VIS-001</x:v>
      </x:c>
      <x:c r="J131" s="23" t="str">
        <x:v>Mapped</x:v>
      </x:c>
      <x:c r="K131" s="23" t="str">
        <x:v>Hi-fi frame + state set + keyboard walkthrough</x:v>
      </x:c>
      <x:c r="L131" s="26" t="str">
        <x:v>Visual evidence pending</x:v>
      </x:c>
    </x:row>
    <x:row r="132">
      <x:c r="A132" s="74" t="str">
        <x:v>SCR-213</x:v>
      </x:c>
      <x:c r="B132" s="30" t="str">
        <x:v>Shared</x:v>
      </x:c>
      <x:c r="C132" s="30" t="str">
        <x:v>Общая multi-select panel</x:v>
      </x:c>
      <x:c r="D132" s="30" t="str">
        <x:v>action bar</x:v>
      </x:c>
      <x:c r="E132" s="30" t="str">
        <x:v>Selection action bar</x:v>
      </x:c>
      <x:c r="F132" s="30" t="str">
        <x:v>P0</x:v>
      </x:c>
      <x:c r="G132" s="30" t="str">
        <x:v>BulkResultSummary; PermissionState; SelectionBar; SurfaceTitle</x:v>
      </x:c>
      <x:c r="H132" s="30" t="str">
        <x:v>request too large; mixed permissions</x:v>
      </x:c>
      <x:c r="I132" s="30" t="str">
        <x:v>VIS-001</x:v>
      </x:c>
      <x:c r="J132" s="30" t="str">
        <x:v>Mapped</x:v>
      </x:c>
      <x:c r="K132" s="30" t="str">
        <x:v>Hi-fi frame + state set + keyboard walkthrough</x:v>
      </x:c>
      <x:c r="L132" s="33" t="str">
        <x:v>Visual evidence pending</x:v>
      </x:c>
    </x:row>
  </x:sheetData>
  <x:mergeCells>
    <x:mergeCell ref="A1:L2"/>
    <x:mergeCell ref="A3:L3"/>
  </x:mergeCells>
  <x:conditionalFormatting sqref="J5:J132">
    <x:cfRule type="containsText" dxfId="13" priority="1" operator="containsText" text="Mapped"/>
  </x:conditionalFormatting>
  <x:conditionalFormatting sqref="L5:L132">
    <x:cfRule type="containsText" dxfId="14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b68f8b4aa8ac4b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4" hidden="0" customWidth="1"/>
    <x:col min="5" max="5" width="32" hidden="0" customWidth="1"/>
    <x:col min="6" max="6" width="34" hidden="0" customWidth="1"/>
    <x:col min="7" max="7" width="24" hidden="0" customWidth="1"/>
    <x:col min="8" max="8" width="22" hidden="0" customWidth="1"/>
    <x:col min="9" max="9" width="40" hidden="0" customWidth="1"/>
    <x:col min="10" max="10" width="9" hidden="0" customWidth="1"/>
    <x:col min="11" max="11" width="12" hidden="0" customWidth="1"/>
    <x:col min="12" max="12" width="34" hidden="0" customWidth="1"/>
    <x:col min="13" max="13" width="28" hidden="0" customWidth="1"/>
  </x:cols>
  <x:sheetData>
    <x:row r="1">
      <x:c r="A1" s="3" t="str">
        <x:v>Stage 5 — FLOW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6" t="str">
        <x:v>37/37 пользовательских потоков связаны с экранами, общими компонентами и формой требуемого design evidence.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17" t="str">
        <x:v>FLOW ID</x:v>
      </x:c>
      <x:c r="B4" s="18" t="str">
        <x:v>Scenario group</x:v>
      </x:c>
      <x:c r="C4" s="18" t="str">
        <x:v>Flow</x:v>
      </x:c>
      <x:c r="D4" s="18" t="str">
        <x:v>Roles</x:v>
      </x:c>
      <x:c r="E4" s="18" t="str">
        <x:v>Outcome</x:v>
      </x:c>
      <x:c r="F4" s="18" t="str">
        <x:v>SCR references</x:v>
      </x:c>
      <x:c r="G4" s="18" t="str">
        <x:v>STATE references</x:v>
      </x:c>
      <x:c r="H4" s="18" t="str">
        <x:v>Modules</x:v>
      </x:c>
      <x:c r="I4" s="18" t="str">
        <x:v>Shared components</x:v>
      </x:c>
      <x:c r="J4" s="18" t="str">
        <x:v>Priority</x:v>
      </x:c>
      <x:c r="K4" s="18" t="str">
        <x:v>Mapping</x:v>
      </x:c>
      <x:c r="L4" s="18" t="str">
        <x:v>Required design evidence</x:v>
      </x:c>
      <x:c r="M4" s="19" t="str">
        <x:v>Evidence status</x:v>
      </x:c>
    </x:row>
    <x:row r="5">
      <x:c r="A5" s="73" t="str">
        <x:v>FLOW-001</x:v>
      </x:c>
      <x:c r="B5" s="23" t="str">
        <x:v>Auth &amp; bootstrap</x:v>
      </x:c>
      <x:c r="C5" s="23" t="str">
        <x:v>Первый вход</x:v>
      </x:c>
      <x:c r="D5" s="23" t="str">
        <x:v>Все роли</x:v>
      </x:c>
      <x:c r="E5" s="23" t="str">
        <x:v>Active session, authorized cache, Today</x:v>
      </x:c>
      <x:c r="F5" s="23" t="str">
        <x:v>SCR-001; SCR-002; SCR-003; SCR-004; SCR-007</x:v>
      </x:c>
      <x:c r="G5" s="23" t="str"/>
      <x:c r="H5" s="23" t="str">
        <x:v>Auth; Shell; Sync</x:v>
      </x:c>
      <x:c r="I5" s="23" t="str">
        <x:v>CommandBar; ConnectionStatus; ConnectivityBanner; DialogShell; ErrorMessage; FieldLabel; FileLocationView; FocusTrap; FormLayout; LoadingState; NavigationRail; PageLayout; Pagination; ProfileMenu; ProgressIndicator; ReadOnlyBanner; RecurrenceEditor; RetryAction; SearchBox; SemanticStatus; SurfaceTitle; ValidationMessage</x:v>
      </x:c>
      <x:c r="J5" s="23" t="str">
        <x:v>P0</x:v>
      </x:c>
      <x:c r="K5" s="23" t="str">
        <x:v>Mapped</x:v>
      </x:c>
      <x:c r="L5" s="23" t="str">
        <x:v>Interactive prototype + keyboard walkthrough</x:v>
      </x:c>
      <x:c r="M5" s="26" t="str">
        <x:v>Visual evidence pending</x:v>
      </x:c>
    </x:row>
    <x:row r="6">
      <x:c r="A6" s="73" t="str">
        <x:v>FLOW-002</x:v>
      </x:c>
      <x:c r="B6" s="23" t="str">
        <x:v>Auth &amp; bootstrap</x:v>
      </x:c>
      <x:c r="C6" s="23" t="str">
        <x:v>Обычный вход</x:v>
      </x:c>
      <x:c r="D6" s="23" t="str">
        <x:v>Все роли</x:v>
      </x:c>
      <x:c r="E6" s="23" t="str">
        <x:v>Shell restored without stale unauthorized data</x:v>
      </x:c>
      <x:c r="F6" s="23" t="str">
        <x:v>SCR-001; SCR-003; SCR-004</x:v>
      </x:c>
      <x:c r="G6" s="23" t="str"/>
      <x:c r="H6" s="23" t="str">
        <x:v>Auth; Shell; Sync</x:v>
      </x:c>
      <x:c r="I6" s="23" t="str">
        <x:v>CommandBar; ConnectionStatus; ConnectivityBanner; ErrorMessage; FieldLabel; FileLocationView; FormLayout; LoadingState; NavigationRail; PageLayout; Pagination; ProfileMenu; ProgressIndicator; ReadOnlyBanner; RecurrenceEditor; RetryAction; SearchBox; SemanticStatus; SurfaceTitle; ValidationMessage</x:v>
      </x:c>
      <x:c r="J6" s="23" t="str">
        <x:v>P0</x:v>
      </x:c>
      <x:c r="K6" s="23" t="str">
        <x:v>Mapped</x:v>
      </x:c>
      <x:c r="L6" s="23" t="str">
        <x:v>Interactive prototype + keyboard walkthrough</x:v>
      </x:c>
      <x:c r="M6" s="26" t="str">
        <x:v>Visual evidence pending</x:v>
      </x:c>
    </x:row>
    <x:row r="7">
      <x:c r="A7" s="73" t="str">
        <x:v>FLOW-003</x:v>
      </x:c>
      <x:c r="B7" s="23" t="str">
        <x:v>Auth &amp; bootstrap</x:v>
      </x:c>
      <x:c r="C7" s="23" t="str">
        <x:v>Истечение сессии</x:v>
      </x:c>
      <x:c r="D7" s="23" t="str">
        <x:v>Все роли</x:v>
      </x:c>
      <x:c r="E7" s="23" t="str">
        <x:v>Secure return to login</x:v>
      </x:c>
      <x:c r="F7" s="23" t="str">
        <x:v>SCR-001; SCR-006</x:v>
      </x:c>
      <x:c r="G7" s="23" t="str"/>
      <x:c r="H7" s="23" t="str">
        <x:v>Auth</x:v>
      </x:c>
      <x:c r="I7" s="23" t="str">
        <x:v>ConnectivityBanner; DialogShell; ErrorMessage; FocusTrap; LoadingState; PageLayout; ProgressIndicator; ReadOnlyBanner; RecurrenceEditor; RetryAction; SurfaceTitle</x:v>
      </x:c>
      <x:c r="J7" s="23" t="str">
        <x:v>P1</x:v>
      </x:c>
      <x:c r="K7" s="23" t="str">
        <x:v>Mapped</x:v>
      </x:c>
      <x:c r="L7" s="23" t="str">
        <x:v>Annotated storyboard or module prototype</x:v>
      </x:c>
      <x:c r="M7" s="26" t="str">
        <x:v>Visual evidence pending</x:v>
      </x:c>
    </x:row>
    <x:row r="8">
      <x:c r="A8" s="73" t="str">
        <x:v>FLOW-004</x:v>
      </x:c>
      <x:c r="B8" s="23" t="str">
        <x:v>Task management</x:v>
      </x:c>
      <x:c r="C8" s="23" t="str">
        <x:v>Создание задачи</x:v>
      </x:c>
      <x:c r="D8" s="23" t="str">
        <x:v>Admin/Manager/Employee with capability</x:v>
      </x:c>
      <x:c r="E8" s="23" t="str">
        <x:v>Versioned Task created</x:v>
      </x:c>
      <x:c r="F8" s="23" t="str">
        <x:v>SCR-023; SCR-024; SCR-028; SCR-029</x:v>
      </x:c>
      <x:c r="G8" s="23" t="str"/>
      <x:c r="H8" s="23" t="str">
        <x:v>Tasks</x:v>
      </x:c>
      <x:c r="I8" s="23" t="str">
        <x:v>CommentThread; ConflictNotice; ConnectivityBanner; DataList; DateTimePicker; DialogShell; ErrorMessage;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J8" s="23" t="str">
        <x:v>P0</x:v>
      </x:c>
      <x:c r="K8" s="23" t="str">
        <x:v>Mapped</x:v>
      </x:c>
      <x:c r="L8" s="23" t="str">
        <x:v>Interactive prototype + keyboard walkthrough</x:v>
      </x:c>
      <x:c r="M8" s="26" t="str">
        <x:v>Visual evidence pending</x:v>
      </x:c>
    </x:row>
    <x:row r="9">
      <x:c r="A9" s="73" t="str">
        <x:v>FLOW-005</x:v>
      </x:c>
      <x:c r="B9" s="23" t="str">
        <x:v>Task management</x:v>
      </x:c>
      <x:c r="C9" s="23" t="str">
        <x:v>Быстрое создание задачи</x:v>
      </x:c>
      <x:c r="D9" s="23" t="str">
        <x:v>Admin/Manager/Employee</x:v>
      </x:c>
      <x:c r="E9" s="23" t="str">
        <x:v>Minimal valid task</x:v>
      </x:c>
      <x:c r="F9" s="23" t="str">
        <x:v>SCR-008; SCR-022; SCR-024</x:v>
      </x:c>
      <x:c r="G9" s="23" t="str"/>
      <x:c r="H9" s="23" t="str">
        <x:v>Shell; Tasks</x:v>
      </x:c>
      <x:c r="I9" s="23" t="str">
        <x:v>CommentThread; ConflictNotice; ConnectivityBanner; DataList; DateTimePicker; DialogShell; ErrorMessage; FieldLabel; FileLocationView; FocusTrap; FormLayout; InspectorPanel; LifecycleBanner; LoadingState; PageLayout; PeoplePicker; PermissionState; PopoverSurface; ProgressIndicator; ReadOnlyBanner; RecurrenceEditor; ReminderEditor; RetryAction; SearchBox; SemanticStatus; SurfaceTitle; TaskRow; TaskStatusControl; TimelineHistory; UrgencyIndicator; ValidationMessage</x:v>
      </x:c>
      <x:c r="J9" s="23" t="str">
        <x:v>P0</x:v>
      </x:c>
      <x:c r="K9" s="23" t="str">
        <x:v>Mapped</x:v>
      </x:c>
      <x:c r="L9" s="23" t="str">
        <x:v>Interactive prototype + keyboard walkthrough</x:v>
      </x:c>
      <x:c r="M9" s="26" t="str">
        <x:v>Visual evidence pending</x:v>
      </x:c>
    </x:row>
    <x:row r="10">
      <x:c r="A10" s="73" t="str">
        <x:v>FLOW-006</x:v>
      </x:c>
      <x:c r="B10" s="23" t="str">
        <x:v>Task management</x:v>
      </x:c>
      <x:c r="C10" s="23" t="str">
        <x:v>Назначение исполнителя</x:v>
      </x:c>
      <x:c r="D10" s="23" t="str">
        <x:v>Task editor with permission</x:v>
      </x:c>
      <x:c r="E10" s="23" t="str">
        <x:v>Authoritative assignment</x:v>
      </x:c>
      <x:c r="F10" s="23" t="str">
        <x:v>SCR-024; SCR-025; SCR-029</x:v>
      </x:c>
      <x:c r="G10" s="23" t="str"/>
      <x:c r="H10" s="23" t="str">
        <x:v>Tasks</x:v>
      </x:c>
      <x:c r="I10" s="23" t="str">
        <x:v>CommentThread; ConflictNotice; ConnectivityBanner; DataList; DateTimePicker; DialogShell; ErrorMessage; FieldLabel; FileLocationView; FocusTrap; FormLayout; InspectorPanel; LifecycleBanner; LoadingState; PageLayout; PeoplePicker; PermissionState; ProgressIndicator; ReadOnlyBanner; RecurrenceEditor; ReminderEditor; RetryAction; SearchBox; SemanticStatus; SurfaceTitle; TaskRow; TaskStatusControl; TimelineHistory; UrgencyIndicator; ValidationMessage</x:v>
      </x:c>
      <x:c r="J10" s="23" t="str">
        <x:v>P1</x:v>
      </x:c>
      <x:c r="K10" s="23" t="str">
        <x:v>Mapped</x:v>
      </x:c>
      <x:c r="L10" s="23" t="str">
        <x:v>Annotated storyboard or module prototype</x:v>
      </x:c>
      <x:c r="M10" s="26" t="str">
        <x:v>Visual evidence pending</x:v>
      </x:c>
    </x:row>
    <x:row r="11">
      <x:c r="A11" s="73" t="str">
        <x:v>FLOW-007</x:v>
      </x:c>
      <x:c r="B11" s="23" t="str">
        <x:v>Task management</x:v>
      </x:c>
      <x:c r="C11" s="23" t="str">
        <x:v>Завершение задачи</x:v>
      </x:c>
      <x:c r="D11" s="23" t="str">
        <x:v>Assignee/Manager/Admin with capability</x:v>
      </x:c>
      <x:c r="E11" s="23" t="str">
        <x:v>Business completion, active lifecycle</x:v>
      </x:c>
      <x:c r="F11" s="23" t="str">
        <x:v>SCR-010; SCR-020; SCR-024; SCR-025; SCR-034</x:v>
      </x:c>
      <x:c r="G11" s="23" t="str"/>
      <x:c r="H11" s="23" t="str">
        <x:v>Tasks; Today</x:v>
      </x:c>
      <x:c r="I11" s="23" t="str">
        <x:v>CommentThread; ConflictNotice; ConnectivityBanner; ContextMenu; DataList; EmptyState; ErrorMessage; FieldLabel; FileLocationView; FilterBar; FormLayout; InspectorPanel; LifecycleBanner; LoadingState; PageLayout; PeoplePicker; PermissionState; ProgressIndicator; ReadOnlyBanner; RecurrenceEditor; ReminderEditor; RetryAction; SearchBox; SelectionBar; SemanticStatus; SurfaceTitle; TaskRow; TaskStatusControl; TimelineHistory; TreeView; UrgencyIndicator; ValidationMessage</x:v>
      </x:c>
      <x:c r="J11" s="23" t="str">
        <x:v>P1</x:v>
      </x:c>
      <x:c r="K11" s="23" t="str">
        <x:v>Mapped</x:v>
      </x:c>
      <x:c r="L11" s="23" t="str">
        <x:v>Annotated storyboard or module prototype</x:v>
      </x:c>
      <x:c r="M11" s="26" t="str">
        <x:v>Visual evidence pending</x:v>
      </x:c>
    </x:row>
    <x:row r="12">
      <x:c r="A12" s="73" t="str">
        <x:v>FLOW-008</x:v>
      </x:c>
      <x:c r="B12" s="23" t="str">
        <x:v>Task management</x:v>
      </x:c>
      <x:c r="C12" s="23" t="str">
        <x:v>Изменение статуса</x:v>
      </x:c>
      <x:c r="D12" s="23" t="str">
        <x:v>Allowed editor</x:v>
      </x:c>
      <x:c r="E12" s="23" t="str">
        <x:v>Status changed without overwriting fields</x:v>
      </x:c>
      <x:c r="F12" s="23" t="str">
        <x:v>SCR-020; SCR-024; SCR-025; SCR-034</x:v>
      </x:c>
      <x:c r="G12" s="23" t="str"/>
      <x:c r="H12" s="23" t="str">
        <x:v>Tasks</x:v>
      </x:c>
      <x:c r="I12" s="23" t="str">
        <x:v>CommentThread; ConflictNotice; ConnectivityBanner; ContextMenu; DataList; EmptyState; ErrorMessage; FieldLabel; FileLocationView; FilterBar; FormLayout; InspectorPanel; LifecycleBanner; LoadingState; PageLayout; PeoplePicker; PermissionState; ProgressIndicator; ReadOnlyBanner; RecurrenceEditor; ReminderEditor; RetryAction; SearchBox; SelectionBar; SemanticStatus; SurfaceTitle; TaskRow; TaskStatusControl; TimelineHistory; TreeView; UrgencyIndicator; ValidationMessage</x:v>
      </x:c>
      <x:c r="J12" s="23" t="str">
        <x:v>P1</x:v>
      </x:c>
      <x:c r="K12" s="23" t="str">
        <x:v>Mapped</x:v>
      </x:c>
      <x:c r="L12" s="23" t="str">
        <x:v>Annotated storyboard or module prototype</x:v>
      </x:c>
      <x:c r="M12" s="26" t="str">
        <x:v>Visual evidence pending</x:v>
      </x:c>
    </x:row>
    <x:row r="13">
      <x:c r="A13" s="73" t="str">
        <x:v>FLOW-009</x:v>
      </x:c>
      <x:c r="B13" s="23" t="str">
        <x:v>Task management</x:v>
      </x:c>
      <x:c r="C13" s="23" t="str">
        <x:v>Создание подзадачи</x:v>
      </x:c>
      <x:c r="D13" s="23" t="str">
        <x:v>Task editor</x:v>
      </x:c>
      <x:c r="E13" s="23" t="str">
        <x:v>One-level child Task</x:v>
      </x:c>
      <x:c r="F13" s="23" t="str">
        <x:v>SCR-023; SCR-024; SCR-033</x:v>
      </x:c>
      <x:c r="G13" s="23" t="str"/>
      <x:c r="H13" s="23" t="str">
        <x:v>Tasks</x:v>
      </x:c>
      <x:c r="I13" s="23" t="str">
        <x:v>CommentThread; ConflictNotice; ConnectivityBanner; DataList; DialogShell;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J13" s="23" t="str">
        <x:v>P1</x:v>
      </x:c>
      <x:c r="K13" s="23" t="str">
        <x:v>Mapped</x:v>
      </x:c>
      <x:c r="L13" s="23" t="str">
        <x:v>Annotated storyboard or module prototype</x:v>
      </x:c>
      <x:c r="M13" s="26" t="str">
        <x:v>Visual evidence pending</x:v>
      </x:c>
    </x:row>
    <x:row r="14">
      <x:c r="A14" s="73" t="str">
        <x:v>FLOW-010</x:v>
      </x:c>
      <x:c r="B14" s="23" t="str">
        <x:v>Task management</x:v>
      </x:c>
      <x:c r="C14" s="23" t="str">
        <x:v>Повторяющаяся задача</x:v>
      </x:c>
      <x:c r="D14" s="23" t="str">
        <x:v>Allowed editor</x:v>
      </x:c>
      <x:c r="E14" s="23" t="str">
        <x:v>Active series + deterministic occurrences</x:v>
      </x:c>
      <x:c r="F14" s="23" t="str">
        <x:v>SCR-023; SCR-024; SCR-026</x:v>
      </x:c>
      <x:c r="G14" s="23" t="str"/>
      <x:c r="H14" s="23" t="str">
        <x:v>Tasks</x:v>
      </x:c>
      <x:c r="I14" s="23" t="str">
        <x:v>CommentThread; ConflictNotice; ConnectivityBanner; DataList; DateTimePicker; DialogShell; ErrorMessage;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J14" s="23" t="str">
        <x:v>P1</x:v>
      </x:c>
      <x:c r="K14" s="23" t="str">
        <x:v>Mapped</x:v>
      </x:c>
      <x:c r="L14" s="23" t="str">
        <x:v>Annotated storyboard or module prototype</x:v>
      </x:c>
      <x:c r="M14" s="26" t="str">
        <x:v>Visual evidence pending</x:v>
      </x:c>
    </x:row>
    <x:row r="15">
      <x:c r="A15" s="73" t="str">
        <x:v>FLOW-011</x:v>
      </x:c>
      <x:c r="B15" s="23" t="str">
        <x:v>Task management</x:v>
      </x:c>
      <x:c r="C15" s="23" t="str">
        <x:v>Изменить один occurrence</x:v>
      </x:c>
      <x:c r="D15" s="23" t="str">
        <x:v>Allowed editor</x:v>
      </x:c>
      <x:c r="E15" s="23" t="str">
        <x:v>Single occurrence safely diverged</x:v>
      </x:c>
      <x:c r="F15" s="23" t="str">
        <x:v>SCR-024; SCR-026; SCR-027</x:v>
      </x:c>
      <x:c r="G15" s="23" t="str"/>
      <x:c r="H15" s="23" t="str">
        <x:v>Tasks</x:v>
      </x:c>
      <x:c r="I15" s="23" t="str">
        <x:v>CommentThread; ConflictNotice; ConnectivityBanner; DataList; DateTimePicker; DialogShell; ErrorMessage;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J15" s="23" t="str">
        <x:v>P1</x:v>
      </x:c>
      <x:c r="K15" s="23" t="str">
        <x:v>Mapped</x:v>
      </x:c>
      <x:c r="L15" s="23" t="str">
        <x:v>Annotated storyboard or module prototype</x:v>
      </x:c>
      <x:c r="M15" s="26" t="str">
        <x:v>Visual evidence pending</x:v>
      </x:c>
    </x:row>
    <x:row r="16">
      <x:c r="A16" s="73" t="str">
        <x:v>FLOW-012</x:v>
      </x:c>
      <x:c r="B16" s="23" t="str">
        <x:v>Task management</x:v>
      </x:c>
      <x:c r="C16" s="23" t="str">
        <x:v>Изменить future/all series</x:v>
      </x:c>
      <x:c r="D16" s="23" t="str">
        <x:v>Allowed editor</x:v>
      </x:c>
      <x:c r="E16" s="23" t="str">
        <x:v>Series changed without silent exception overwrite</x:v>
      </x:c>
      <x:c r="F16" s="23" t="str">
        <x:v>SCR-024; SCR-026; SCR-027; SCR-209</x:v>
      </x:c>
      <x:c r="G16" s="23" t="str"/>
      <x:c r="H16" s="23" t="str">
        <x:v>Shared; Tasks</x:v>
      </x:c>
      <x:c r="I16" s="23" t="str">
        <x:v>CommentThread; ConflictNotice; ConnectivityBanner; DataList; DateTimePicker; DialogShell; ErrorMessage;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J16" s="23" t="str">
        <x:v>P1</x:v>
      </x:c>
      <x:c r="K16" s="23" t="str">
        <x:v>Mapped</x:v>
      </x:c>
      <x:c r="L16" s="23" t="str">
        <x:v>Annotated storyboard or module prototype</x:v>
      </x:c>
      <x:c r="M16" s="26" t="str">
        <x:v>Visual evidence pending</x:v>
      </x:c>
    </x:row>
    <x:row r="17">
      <x:c r="A17" s="73" t="str">
        <x:v>FLOW-013</x:v>
      </x:c>
      <x:c r="B17" s="23" t="str">
        <x:v>Projects</x:v>
      </x:c>
      <x:c r="C17" s="23" t="str">
        <x:v>Создание проекта</x:v>
      </x:c>
      <x:c r="D17" s="23" t="str">
        <x:v>Admin/Manager/allowed Employee</x:v>
      </x:c>
      <x:c r="E17" s="23" t="str">
        <x:v>Project created</x:v>
      </x:c>
      <x:c r="F17" s="23" t="str">
        <x:v>SCR-060; SCR-061; SCR-070</x:v>
      </x:c>
      <x:c r="G17" s="23" t="str"/>
      <x:c r="H17" s="23" t="str">
        <x:v>Projects</x:v>
      </x:c>
      <x:c r="I17" s="23" t="str">
        <x:v>ConflictNotice; ConnectivityBanner; DataList; DateTimePicker; DialogShell; EmptyState; ErrorMessage; FieldLabel; FilterBar; FocusTrap; FormLayout; LifecycleBanner; LoadingState; PageLayout; PeoplePicker; PermissionState; ProgressIndicator; ProjectPicker; ReadOnlyBanner; RetryAction; SearchBox; SemanticStatus; SurfaceTitle; ValidationMessage</x:v>
      </x:c>
      <x:c r="J17" s="23" t="str">
        <x:v>P1</x:v>
      </x:c>
      <x:c r="K17" s="23" t="str">
        <x:v>Mapped</x:v>
      </x:c>
      <x:c r="L17" s="23" t="str">
        <x:v>Annotated storyboard or module prototype</x:v>
      </x:c>
      <x:c r="M17" s="26" t="str">
        <x:v>Visual evidence pending</x:v>
      </x:c>
    </x:row>
    <x:row r="18">
      <x:c r="A18" s="73" t="str">
        <x:v>FLOW-014</x:v>
      </x:c>
      <x:c r="B18" s="23" t="str">
        <x:v>Projects</x:v>
      </x:c>
      <x:c r="C18" s="23" t="str">
        <x:v>Добавление участника</x:v>
      </x:c>
      <x:c r="D18" s="23" t="str">
        <x:v>Owner/Manager</x:v>
      </x:c>
      <x:c r="E18" s="23" t="str">
        <x:v>Membership and authorization updated</x:v>
      </x:c>
      <x:c r="F18" s="23" t="str">
        <x:v>SCR-061; SCR-064; SCR-071</x:v>
      </x:c>
      <x:c r="G18" s="23" t="str"/>
      <x:c r="H18" s="23" t="str">
        <x:v>Projects</x:v>
      </x:c>
      <x:c r="I18" s="23" t="str">
        <x:v>ConflictNotice; DialogShell; FieldLabel; FocusTrap; FormLayout; LifecycleBanner; LoadingState; PageLayout; PeoplePicker; PermissionState; ProgressIndicator; ProjectPicker; SearchBox; SemanticStatus; SurfaceTitle; ValidationMessage</x:v>
      </x:c>
      <x:c r="J18" s="23" t="str">
        <x:v>P1</x:v>
      </x:c>
      <x:c r="K18" s="23" t="str">
        <x:v>Mapped</x:v>
      </x:c>
      <x:c r="L18" s="23" t="str">
        <x:v>Annotated storyboard or module prototype</x:v>
      </x:c>
      <x:c r="M18" s="26" t="str">
        <x:v>Visual evidence pending</x:v>
      </x:c>
    </x:row>
    <x:row r="19">
      <x:c r="A19" s="73" t="str">
        <x:v>FLOW-015</x:v>
      </x:c>
      <x:c r="B19" s="23" t="str">
        <x:v>Files</x:v>
      </x:c>
      <x:c r="C19" s="23" t="str">
        <x:v>Открытие файла</x:v>
      </x:c>
      <x:c r="D19" s="23" t="str">
        <x:v>Metadata reader with open permission</x:v>
      </x:c>
      <x:c r="E19" s="23" t="str">
        <x:v>OS opened file or explicit diagnosis</x:v>
      </x:c>
      <x:c r="F19" s="23" t="str">
        <x:v>SCR-080; SCR-081; SCR-084; SCR-090</x:v>
      </x:c>
      <x:c r="G19" s="23" t="str"/>
      <x:c r="H19" s="23" t="str">
        <x:v>Files</x:v>
      </x:c>
      <x:c r="I19" s="23" t="str">
        <x:v>ConnectivityBanner; DataList; DialogShell; EmptyState; ErrorMessage; FieldLabel; FileLocationView; FocusTrap; FormLayout; InspectorPanel; LifecycleBanner; LoadingState; PageLayout; PermissionState; ProgressIndicator; ReadOnlyBanner; RedactionMarker; RetryAction; SearchBox; SelectionBar; SurfaceTitle; TimelineHistory; TreeView; ValidationMessage</x:v>
      </x:c>
      <x:c r="J19" s="23" t="str">
        <x:v>P1</x:v>
      </x:c>
      <x:c r="K19" s="23" t="str">
        <x:v>Mapped</x:v>
      </x:c>
      <x:c r="L19" s="23" t="str">
        <x:v>Annotated storyboard or module prototype</x:v>
      </x:c>
      <x:c r="M19" s="26" t="str">
        <x:v>Visual evidence pending</x:v>
      </x:c>
    </x:row>
    <x:row r="20">
      <x:c r="A20" s="73" t="str">
        <x:v>FLOW-016</x:v>
      </x:c>
      <x:c r="B20" s="23" t="str">
        <x:v>Files</x:v>
      </x:c>
      <x:c r="C20" s="23" t="str">
        <x:v>Недоступный файл</x:v>
      </x:c>
      <x:c r="D20" s="23" t="str">
        <x:v>File reader</x:v>
      </x:c>
      <x:c r="E20" s="23" t="str">
        <x:v>No destructive change; clear recovery</x:v>
      </x:c>
      <x:c r="F20" s="23" t="str">
        <x:v>SCR-081; SCR-084; SCR-085; SCR-090</x:v>
      </x:c>
      <x:c r="G20" s="23" t="str"/>
      <x:c r="H20" s="23" t="str">
        <x:v>Files</x:v>
      </x:c>
      <x:c r="I20" s="23" t="str">
        <x:v>ConnectivityBanner; DataList; DateTimePicker; DialogShell; ErrorMessage; FileLocationView; FocusTrap; InspectorPanel; LifecycleBanner; PageLayout; ReadOnlyBanner; RedactionMarker; RetryAction; SearchBox; SurfaceTitle; TimelineHistory</x:v>
      </x:c>
      <x:c r="J20" s="23" t="str">
        <x:v>P1</x:v>
      </x:c>
      <x:c r="K20" s="23" t="str">
        <x:v>Mapped</x:v>
      </x:c>
      <x:c r="L20" s="23" t="str">
        <x:v>Annotated storyboard or module prototype</x:v>
      </x:c>
      <x:c r="M20" s="26" t="str">
        <x:v>Visual evidence pending</x:v>
      </x:c>
    </x:row>
    <x:row r="21">
      <x:c r="A21" s="73" t="str">
        <x:v>FLOW-017</x:v>
      </x:c>
      <x:c r="B21" s="23" t="str">
        <x:v>Files</x:v>
      </x:c>
      <x:c r="C21" s="23" t="str">
        <x:v>Перепривязка файла</x:v>
      </x:c>
      <x:c r="D21" s="23" t="str">
        <x:v>Location editor</x:v>
      </x:c>
      <x:c r="E21" s="23" t="str">
        <x:v>Metadata updated; physical file untouched</x:v>
      </x:c>
      <x:c r="F21" s="23" t="str">
        <x:v>SCR-081; SCR-083; SCR-086; SCR-210</x:v>
      </x:c>
      <x:c r="G21" s="23" t="str"/>
      <x:c r="H21" s="23" t="str">
        <x:v>Files</x:v>
      </x:c>
      <x:c r="I21" s="23" t="str">
        <x:v>ConflictNotice; ConnectivityBanner; DataList; DialogShell; FieldLabel; FileLocationView; FocusTrap; FormLayout; InspectorPanel; LifecycleBanner; PageLayout; PermissionState; ReadOnlyBanner; RetryAction; SearchBox; SemanticStatus; SurfaceTitle; TimelineHistory; ValidationMessage</x:v>
      </x:c>
      <x:c r="J21" s="23" t="str">
        <x:v>P1</x:v>
      </x:c>
      <x:c r="K21" s="23" t="str">
        <x:v>Mapped</x:v>
      </x:c>
      <x:c r="L21" s="23" t="str">
        <x:v>Annotated storyboard or module prototype</x:v>
      </x:c>
      <x:c r="M21" s="26" t="str">
        <x:v>Visual evidence pending</x:v>
      </x:c>
    </x:row>
    <x:row r="22">
      <x:c r="A22" s="73" t="str">
        <x:v>FLOW-018</x:v>
      </x:c>
      <x:c r="B22" s="23" t="str">
        <x:v>CRM</x:v>
      </x:c>
      <x:c r="C22" s="23" t="str">
        <x:v>Создание контакта</x:v>
      </x:c>
      <x:c r="D22" s="23" t="str">
        <x:v>CRM editor</x:v>
      </x:c>
      <x:c r="E22" s="23" t="str">
        <x:v>Contact created in allowed scope</x:v>
      </x:c>
      <x:c r="F22" s="23" t="str">
        <x:v>SCR-110; SCR-111; SCR-112; SCR-115</x:v>
      </x:c>
      <x:c r="G22" s="23" t="str"/>
      <x:c r="H22" s="23" t="str">
        <x:v>CRM</x:v>
      </x:c>
      <x:c r="I22" s="23" t="str">
        <x:v>ConflictNotice; ConnectivityBanner; DataList; DateTimePicker; DialogShell; EmptyState; ErrorMessage; FieldLabel; FilterBar; FocusTrap; FormLayout; InspectorPanel; LifecycleBanner; PageLayout; PermissionState; ReadOnlyBanner; RedactionMarker; RetryAction; SearchBox; SurfaceTitle; ValidationMessage</x:v>
      </x:c>
      <x:c r="J22" s="23" t="str">
        <x:v>P1</x:v>
      </x:c>
      <x:c r="K22" s="23" t="str">
        <x:v>Mapped</x:v>
      </x:c>
      <x:c r="L22" s="23" t="str">
        <x:v>Annotated storyboard or module prototype</x:v>
      </x:c>
      <x:c r="M22" s="26" t="str">
        <x:v>Visual evidence pending</x:v>
      </x:c>
    </x:row>
    <x:row r="23">
      <x:c r="A23" s="73" t="str">
        <x:v>FLOW-019</x:v>
      </x:c>
      <x:c r="B23" s="23" t="str">
        <x:v>Search</x:v>
      </x:c>
      <x:c r="C23" s="23" t="str">
        <x:v>Глобальный поиск</x:v>
      </x:c>
      <x:c r="D23" s="23" t="str">
        <x:v>Все роли</x:v>
      </x:c>
      <x:c r="E23" s="23" t="str">
        <x:v>Allowed target or explicit zero/partial result</x:v>
      </x:c>
      <x:c r="F23" s="23" t="str">
        <x:v>SCR-133; SCR-134; SCR-135; SCR-136</x:v>
      </x:c>
      <x:c r="G23" s="23" t="str"/>
      <x:c r="H23" s="23" t="str">
        <x:v>Search</x:v>
      </x:c>
      <x:c r="I23" s="23" t="str">
        <x:v>ConnectivityBanner; DataList; EmptyState; ErrorMessage; FieldLabel; FileLocationView; FilterBar; FormLayout; InspectorPanel; LoadingState; PageLayout; Pagination; PermissionState; PopoverSurface; ProgressIndicator; ProjectPicker; ReadOnlyBanner; RedactionMarker; RetryAction; SearchBox; SurfaceTitle; ValidationMessage</x:v>
      </x:c>
      <x:c r="J23" s="23" t="str">
        <x:v>P0</x:v>
      </x:c>
      <x:c r="K23" s="23" t="str">
        <x:v>Mapped</x:v>
      </x:c>
      <x:c r="L23" s="23" t="str">
        <x:v>Interactive prototype + keyboard walkthrough</x:v>
      </x:c>
      <x:c r="M23" s="26" t="str">
        <x:v>Visual evidence pending</x:v>
      </x:c>
    </x:row>
    <x:row r="24">
      <x:c r="A24" s="73" t="str">
        <x:v>FLOW-020</x:v>
      </x:c>
      <x:c r="B24" s="23" t="str">
        <x:v>Notifications &amp; reminders</x:v>
      </x:c>
      <x:c r="C24" s="23" t="str">
        <x:v>Действие из notification</x:v>
      </x:c>
      <x:c r="D24" s="23" t="str">
        <x:v>Recipient</x:v>
      </x:c>
      <x:c r="E24" s="23" t="str">
        <x:v>Action confirmed or safely rejected</x:v>
      </x:c>
      <x:c r="F24" s="23" t="str">
        <x:v>SCR-130; SCR-131; SCR-132</x:v>
      </x:c>
      <x:c r="G24" s="23" t="str">
        <x:v>STATE-026; STATE-030</x:v>
      </x:c>
      <x:c r="H24" s="23" t="str">
        <x:v>Notifications</x:v>
      </x:c>
      <x:c r="I24" s="23" t="str">
        <x:v>ConflictNotice; ConnectivityBanner; DataList; DateTimePicker; EmptyState; ErrorMessage; FilterBar; InspectorPanel; NotificationItem; PageLayout; PermissionState; ReadOnlyBanner; ReminderEditor; RetryAction; SemanticStatus; SurfaceTitle</x:v>
      </x:c>
      <x:c r="J24" s="23" t="str">
        <x:v>P1</x:v>
      </x:c>
      <x:c r="K24" s="23" t="str">
        <x:v>Mapped</x:v>
      </x:c>
      <x:c r="L24" s="23" t="str">
        <x:v>Annotated storyboard or module prototype</x:v>
      </x:c>
      <x:c r="M24" s="26" t="str">
        <x:v>Visual evidence pending</x:v>
      </x:c>
    </x:row>
    <x:row r="25">
      <x:c r="A25" s="73" t="str">
        <x:v>FLOW-021</x:v>
      </x:c>
      <x:c r="B25" s="23" t="str">
        <x:v>Notifications &amp; reminders</x:v>
      </x:c>
      <x:c r="C25" s="23" t="str">
        <x:v>Snooze reminder</x:v>
      </x:c>
      <x:c r="D25" s="23" t="str">
        <x:v>Recipient</x:v>
      </x:c>
      <x:c r="E25" s="23" t="str">
        <x:v>New due time persisted</x:v>
      </x:c>
      <x:c r="F25" s="23" t="str">
        <x:v>SCR-028; SCR-130; SCR-131; SCR-132</x:v>
      </x:c>
      <x:c r="G25" s="23" t="str"/>
      <x:c r="H25" s="23" t="str">
        <x:v>Notifications; Tasks</x:v>
      </x:c>
      <x:c r="I25" s="23" t="str">
        <x:v>ConflictNotice; ConnectivityBanner; DataList; DateTimePicker; DialogShell; EmptyState; ErrorMessage; FilterBar; FocusTrap; InspectorPanel; NotificationItem; PageLayout; PeoplePicker; PermissionState; ReadOnlyBanner; RecurrenceEditor; ReminderEditor; RetryAction; SemanticStatus; SurfaceTitle; TaskRow; TaskStatusControl; UrgencyIndicator</x:v>
      </x:c>
      <x:c r="J25" s="23" t="str">
        <x:v>P1</x:v>
      </x:c>
      <x:c r="K25" s="23" t="str">
        <x:v>Mapped</x:v>
      </x:c>
      <x:c r="L25" s="23" t="str">
        <x:v>Annotated storyboard or module prototype</x:v>
      </x:c>
      <x:c r="M25" s="26" t="str">
        <x:v>Visual evidence pending</x:v>
      </x:c>
    </x:row>
    <x:row r="26">
      <x:c r="A26" s="73" t="str">
        <x:v>FLOW-022</x:v>
      </x:c>
      <x:c r="B26" s="23" t="str">
        <x:v>Resilience &amp; conflict</x:v>
      </x:c>
      <x:c r="C26" s="23" t="str">
        <x:v>Потеря сервера</x:v>
      </x:c>
      <x:c r="D26" s="23" t="str">
        <x:v>Все logged-in</x:v>
      </x:c>
      <x:c r="E26" s="23" t="str">
        <x:v>Honest read-only/degraded mode</x:v>
      </x:c>
      <x:c r="F26" s="23" t="str">
        <x:v>SCR-004; SCR-160; SCR-206</x:v>
      </x:c>
      <x:c r="G26" s="23" t="str"/>
      <x:c r="H26" s="23" t="str">
        <x:v>Shell; Sync</x:v>
      </x:c>
      <x:c r="I26" s="23" t="str">
        <x:v>CommandBar; ConnectionStatus; ConnectivityBanner; DateTimePicker; ErrorMessage; FieldLabel; FileLocationView; FormLayout; InspectorPanel; LoadingState; NavigationRail; Pagination; PopoverSurface; ProfileMenu; ProgressIndicator; ReadOnlyBanner; RetryAction; SearchBox; SemanticStatus; SurfaceTitle; ValidationMessage</x:v>
      </x:c>
      <x:c r="J26" s="23" t="str">
        <x:v>P0</x:v>
      </x:c>
      <x:c r="K26" s="23" t="str">
        <x:v>Mapped</x:v>
      </x:c>
      <x:c r="L26" s="23" t="str">
        <x:v>Interactive prototype + keyboard walkthrough</x:v>
      </x:c>
      <x:c r="M26" s="26" t="str">
        <x:v>Visual evidence pending</x:v>
      </x:c>
    </x:row>
    <x:row r="27">
      <x:c r="A27" s="73" t="str">
        <x:v>FLOW-023</x:v>
      </x:c>
      <x:c r="B27" s="23" t="str">
        <x:v>Resilience &amp; conflict</x:v>
      </x:c>
      <x:c r="C27" s="23" t="str">
        <x:v>Работа в read-only cache</x:v>
      </x:c>
      <x:c r="D27" s="23" t="str">
        <x:v>Все роли</x:v>
      </x:c>
      <x:c r="E27" s="23" t="str">
        <x:v>Inspect prior data without freshness claim</x:v>
      </x:c>
      <x:c r="F27" s="23" t="str">
        <x:v>SCR-004; SCR-160; SCR-206</x:v>
      </x:c>
      <x:c r="G27" s="23" t="str"/>
      <x:c r="H27" s="23" t="str">
        <x:v>Shell; Sync</x:v>
      </x:c>
      <x:c r="I27" s="23" t="str">
        <x:v>CommandBar; ConnectionStatus; ConnectivityBanner; DateTimePicker; ErrorMessage; FieldLabel; FileLocationView; FormLayout; InspectorPanel; LoadingState; NavigationRail; Pagination; PopoverSurface; ProfileMenu; ProgressIndicator; ReadOnlyBanner; RetryAction; SearchBox; SemanticStatus; SurfaceTitle; ValidationMessage</x:v>
      </x:c>
      <x:c r="J27" s="23" t="str">
        <x:v>P0</x:v>
      </x:c>
      <x:c r="K27" s="23" t="str">
        <x:v>Mapped</x:v>
      </x:c>
      <x:c r="L27" s="23" t="str">
        <x:v>Interactive prototype + keyboard walkthrough</x:v>
      </x:c>
      <x:c r="M27" s="26" t="str">
        <x:v>Visual evidence pending</x:v>
      </x:c>
    </x:row>
    <x:row r="28">
      <x:c r="A28" s="73" t="str">
        <x:v>FLOW-024</x:v>
      </x:c>
      <x:c r="B28" s="23" t="str">
        <x:v>Resilience &amp; conflict</x:v>
      </x:c>
      <x:c r="C28" s="23" t="str">
        <x:v>Восстановление соединения</x:v>
      </x:c>
      <x:c r="D28" s="23" t="str">
        <x:v>Все роли</x:v>
      </x:c>
      <x:c r="E28" s="23" t="str">
        <x:v>Current authorized cache and online writes</x:v>
      </x:c>
      <x:c r="F28" s="23" t="str">
        <x:v>SCR-003; SCR-004; SCR-160; SCR-206</x:v>
      </x:c>
      <x:c r="G28" s="23" t="str"/>
      <x:c r="H28" s="23" t="str">
        <x:v>Shell; Sync</x:v>
      </x:c>
      <x:c r="I28" s="23" t="str">
        <x:v>CommandBar; ConnectionStatus; ConnectivityBanner; DateTimePicker; ErrorMessage; FieldLabel; FileLocationView; FormLayout; InspectorPanel; LoadingState; NavigationRail; PageLayout; Pagination; PopoverSurface; ProfileMenu; ProgressIndicator; ReadOnlyBanner; RecurrenceEditor; RetryAction; SearchBox; SemanticStatus; SurfaceTitle; ValidationMessage</x:v>
      </x:c>
      <x:c r="J28" s="23" t="str">
        <x:v>P0</x:v>
      </x:c>
      <x:c r="K28" s="23" t="str">
        <x:v>Mapped</x:v>
      </x:c>
      <x:c r="L28" s="23" t="str">
        <x:v>Interactive prototype + keyboard walkthrough</x:v>
      </x:c>
      <x:c r="M28" s="26" t="str">
        <x:v>Visual evidence pending</x:v>
      </x:c>
    </x:row>
    <x:row r="29">
      <x:c r="A29" s="73" t="str">
        <x:v>FLOW-025</x:v>
      </x:c>
      <x:c r="B29" s="23" t="str">
        <x:v>Resilience &amp; conflict</x:v>
      </x:c>
      <x:c r="C29" s="23" t="str">
        <x:v>Optimistic conflict</x:v>
      </x:c>
      <x:c r="D29" s="23" t="str">
        <x:v>Any editor</x:v>
      </x:c>
      <x:c r="E29" s="23" t="str">
        <x:v>No silent overwrite</x:v>
      </x:c>
      <x:c r="F29" s="23" t="str">
        <x:v>SCR-023; SCR-024; SCR-032</x:v>
      </x:c>
      <x:c r="G29" s="23" t="str"/>
      <x:c r="H29" s="23" t="str">
        <x:v>Tasks</x:v>
      </x:c>
      <x:c r="I29" s="23" t="str">
        <x:v>CommentThread; ConflictNotice; ConnectivityBanner; DataList; DialogShell;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J29" s="23" t="str">
        <x:v>P0</x:v>
      </x:c>
      <x:c r="K29" s="23" t="str">
        <x:v>Mapped</x:v>
      </x:c>
      <x:c r="L29" s="23" t="str">
        <x:v>Interactive prototype + keyboard walkthrough</x:v>
      </x:c>
      <x:c r="M29" s="26" t="str">
        <x:v>Visual evidence pending</x:v>
      </x:c>
    </x:row>
    <x:row r="30">
      <x:c r="A30" s="73" t="str">
        <x:v>FLOW-026</x:v>
      </x:c>
      <x:c r="B30" s="23" t="str">
        <x:v>Lifecycle</x:v>
      </x:c>
      <x:c r="C30" s="23" t="str">
        <x:v>Архивирование</x:v>
      </x:c>
      <x:c r="D30" s="23" t="str">
        <x:v>Authorized user</x:v>
      </x:c>
      <x:c r="E30" s="23" t="str">
        <x:v>Archived lifecycle, not deleted</x:v>
      </x:c>
      <x:c r="F30" s="23" t="str">
        <x:v>SCR-034; SCR-072; SCR-089; SCR-140; SCR-208</x:v>
      </x:c>
      <x:c r="G30" s="23" t="str"/>
      <x:c r="H30" s="23" t="str">
        <x:v>Files; Lifecycle; Projects; Shared; Tasks</x:v>
      </x:c>
      <x:c r="I30" s="23" t="str">
        <x:v>ConflictNotice; ConnectivityBanner; ContextMenu; DataList; DialogShell; EmptyState; ErrorMessage; FileLocationView; FilterBar; FocusTrap; LifecycleBanner; PageLayout; PeoplePicker; PermissionState; ProjectPicker; ReadOnlyBanner; RecurrenceEditor; ReminderEditor; RetryAction; SemanticStatus; SurfaceTitle; TaskRow; TaskStatusControl; TimelineHistory; UrgencyIndicator</x:v>
      </x:c>
      <x:c r="J30" s="23" t="str">
        <x:v>P1</x:v>
      </x:c>
      <x:c r="K30" s="23" t="str">
        <x:v>Mapped</x:v>
      </x:c>
      <x:c r="L30" s="23" t="str">
        <x:v>Annotated storyboard or module prototype</x:v>
      </x:c>
      <x:c r="M30" s="26" t="str">
        <x:v>Visual evidence pending</x:v>
      </x:c>
    </x:row>
    <x:row r="31">
      <x:c r="A31" s="73" t="str">
        <x:v>FLOW-027</x:v>
      </x:c>
      <x:c r="B31" s="23" t="str">
        <x:v>Lifecycle</x:v>
      </x:c>
      <x:c r="C31" s="23" t="str">
        <x:v>Перемещение в корзину</x:v>
      </x:c>
      <x:c r="D31" s="23" t="str">
        <x:v>Authorized user</x:v>
      </x:c>
      <x:c r="E31" s="23" t="str">
        <x:v>Trashed with retention</x:v>
      </x:c>
      <x:c r="F31" s="23" t="str">
        <x:v>SCR-034; SCR-089; SCR-119; SCR-141; SCR-208</x:v>
      </x:c>
      <x:c r="G31" s="23" t="str"/>
      <x:c r="H31" s="23" t="str">
        <x:v>CRM; Files; Lifecycle; Shared; Tasks</x:v>
      </x:c>
      <x:c r="I31" s="23" t="str">
        <x:v>ConflictNotice; ContextMenu; DataList; DateTimePicker; DialogShell; EmptyState; ErrorMessage; FileLocationView; FocusTrap; LifecycleBanner; PageLayout; PeoplePicker; PermissionState; RecurrenceEditor; ReminderEditor; SemanticStatus; SurfaceTitle; TaskRow; TaskStatusControl; TimelineHistory; UrgencyIndicator</x:v>
      </x:c>
      <x:c r="J31" s="23" t="str">
        <x:v>P1</x:v>
      </x:c>
      <x:c r="K31" s="23" t="str">
        <x:v>Mapped</x:v>
      </x:c>
      <x:c r="L31" s="23" t="str">
        <x:v>Annotated storyboard or module prototype</x:v>
      </x:c>
      <x:c r="M31" s="26" t="str">
        <x:v>Visual evidence pending</x:v>
      </x:c>
    </x:row>
    <x:row r="32">
      <x:c r="A32" s="73" t="str">
        <x:v>FLOW-028</x:v>
      </x:c>
      <x:c r="B32" s="23" t="str">
        <x:v>Lifecycle</x:v>
      </x:c>
      <x:c r="C32" s="23" t="str">
        <x:v>Восстановление из корзины</x:v>
      </x:c>
      <x:c r="D32" s="23" t="str">
        <x:v>Authorized user</x:v>
      </x:c>
      <x:c r="E32" s="23" t="str">
        <x:v>Active object restored</x:v>
      </x:c>
      <x:c r="F32" s="23" t="str">
        <x:v>SCR-141; SCR-142</x:v>
      </x:c>
      <x:c r="G32" s="23" t="str"/>
      <x:c r="H32" s="23" t="str">
        <x:v>Lifecycle</x:v>
      </x:c>
      <x:c r="I32" s="23" t="str">
        <x:v>ConflictNotice; DataList; DateTimePicker; DialogShell; EmptyState; FocusTrap; LifecycleBanner; PageLayout; PermissionState; SurfaceTitle; TimelineHistory</x:v>
      </x:c>
      <x:c r="J32" s="23" t="str">
        <x:v>P1</x:v>
      </x:c>
      <x:c r="K32" s="23" t="str">
        <x:v>Mapped</x:v>
      </x:c>
      <x:c r="L32" s="23" t="str">
        <x:v>Annotated storyboard or module prototype</x:v>
      </x:c>
      <x:c r="M32" s="26" t="str">
        <x:v>Visual evidence pending</x:v>
      </x:c>
    </x:row>
    <x:row r="33">
      <x:c r="A33" s="73" t="str">
        <x:v>FLOW-029</x:v>
      </x:c>
      <x:c r="B33" s="23" t="str">
        <x:v>Administration</x:v>
      </x:c>
      <x:c r="C33" s="23" t="str">
        <x:v>Блокировка пользователя</x:v>
      </x:c>
      <x:c r="D33" s="23" t="str">
        <x:v>Admin</x:v>
      </x:c>
      <x:c r="E33" s="23" t="str">
        <x:v>Account blocked, sessions revoked, audit</x:v>
      </x:c>
      <x:c r="F33" s="23" t="str">
        <x:v>SCR-170; SCR-171; SCR-172; SCR-174; SCR-181</x:v>
      </x:c>
      <x:c r="G33" s="23" t="str"/>
      <x:c r="H33" s="23" t="str">
        <x:v>Admin</x:v>
      </x:c>
      <x:c r="I33" s="23" t="str">
        <x:v>CommandBar; ConflictNotice; ConnectionStatus; DataList; DialogShell; EmptyState; ErrorMessage; FieldLabel; FileLocationView; FilterBar; FocusTrap; FormLayout; InspectorPanel; NavigationRail; PageLayout; PermissionState; ProfileMenu; SemanticStatus; SurfaceTitle; TimelineHistory; ValidationMessage</x:v>
      </x:c>
      <x:c r="J33" s="23" t="str">
        <x:v>P1</x:v>
      </x:c>
      <x:c r="K33" s="23" t="str">
        <x:v>Mapped</x:v>
      </x:c>
      <x:c r="L33" s="23" t="str">
        <x:v>Annotated storyboard or module prototype</x:v>
      </x:c>
      <x:c r="M33" s="26" t="str">
        <x:v>Visual evidence pending</x:v>
      </x:c>
    </x:row>
    <x:row r="34">
      <x:c r="A34" s="73" t="str">
        <x:v>FLOW-030</x:v>
      </x:c>
      <x:c r="B34" s="23" t="str">
        <x:v>Administration</x:v>
      </x:c>
      <x:c r="C34" s="23" t="str">
        <x:v>Изменение permissions</x:v>
      </x:c>
      <x:c r="D34" s="23" t="str">
        <x:v>Admin/Project owner/manager</x:v>
      </x:c>
      <x:c r="E34" s="23" t="str">
        <x:v>No stale unauthorized data/actions</x:v>
      </x:c>
      <x:c r="F34" s="23" t="str">
        <x:v>SCR-170; SCR-177; SCR-178; SCR-179</x:v>
      </x:c>
      <x:c r="G34" s="23" t="str"/>
      <x:c r="H34" s="23" t="str">
        <x:v>Admin</x:v>
      </x:c>
      <x:c r="I34" s="23" t="str">
        <x:v>CommandBar; ConflictNotice; ConnectionStatus; DataList; DialogShell; FieldLabel; FocusTrap; FormLayout; InspectorPanel; NavigationRail; PageLayout; PermissionState; ProfileMenu; ProjectPicker; SurfaceTitle; TimelineHistory; ValidationMessage</x:v>
      </x:c>
      <x:c r="J34" s="23" t="str">
        <x:v>P1</x:v>
      </x:c>
      <x:c r="K34" s="23" t="str">
        <x:v>Mapped</x:v>
      </x:c>
      <x:c r="L34" s="23" t="str">
        <x:v>Annotated storyboard or module prototype</x:v>
      </x:c>
      <x:c r="M34" s="26" t="str">
        <x:v>Visual evidence pending</x:v>
      </x:c>
    </x:row>
    <x:row r="35">
      <x:c r="A35" s="73" t="str">
        <x:v>FLOW-031</x:v>
      </x:c>
      <x:c r="B35" s="23" t="str">
        <x:v>Calendar</x:v>
      </x:c>
      <x:c r="C35" s="23" t="str">
        <x:v>Создание CalendarEvent</x:v>
      </x:c>
      <x:c r="D35" s="23" t="str">
        <x:v>Authorized user</x:v>
      </x:c>
      <x:c r="E35" s="23" t="str">
        <x:v>CalendarEvent created, distinct from Task</x:v>
      </x:c>
      <x:c r="F35" s="23" t="str">
        <x:v>SCR-040; SCR-044; SCR-046</x:v>
      </x:c>
      <x:c r="G35" s="23" t="str"/>
      <x:c r="H35" s="23" t="str">
        <x:v>Calendar</x:v>
      </x:c>
      <x:c r="I35" s="23" t="str">
        <x:v>ConflictNotice; ConnectivityBanner; DateTimePicker; DialogShell; EmptyState; ErrorMessage; FieldLabel; FilterBar; FocusTrap; FormLayout; LifecycleBanner; LoadingState; PageLayout; ProgressIndicator; ProjectPicker; ReadOnlyBanner; RetryAction; SemanticStatus; SurfaceTitle; TaskRow; TaskStatusControl; UrgencyIndicator; ValidationMessage</x:v>
      </x:c>
      <x:c r="J35" s="23" t="str">
        <x:v>P1</x:v>
      </x:c>
      <x:c r="K35" s="23" t="str">
        <x:v>Mapped</x:v>
      </x:c>
      <x:c r="L35" s="23" t="str">
        <x:v>Annotated storyboard or module prototype</x:v>
      </x:c>
      <x:c r="M35" s="26" t="str">
        <x:v>Visual evidence pending</x:v>
      </x:c>
    </x:row>
    <x:row r="36">
      <x:c r="A36" s="73" t="str">
        <x:v>FLOW-032</x:v>
      </x:c>
      <x:c r="B36" s="23" t="str">
        <x:v>Calendar</x:v>
      </x:c>
      <x:c r="C36" s="23" t="str">
        <x:v>Drag/resize календаря</x:v>
      </x:c>
      <x:c r="D36" s="23" t="str">
        <x:v>Authorized editor</x:v>
      </x:c>
      <x:c r="E36" s="23" t="str">
        <x:v>Explicit time model updated</x:v>
      </x:c>
      <x:c r="F36" s="23" t="str">
        <x:v>SCR-040; SCR-041; SCR-042; SCR-047</x:v>
      </x:c>
      <x:c r="G36" s="23" t="str"/>
      <x:c r="H36" s="23" t="str">
        <x:v>Calendar</x:v>
      </x:c>
      <x:c r="I36" s="23" t="str">
        <x:v>ConflictNotice; ConnectivityBanner; DateTimePicker; DialogShell; EmptyState; FieldLabel; FilterBar; FocusTrap; FormLayout; LoadingState; PageLayout; PeoplePicker; PermissionState; ProgressIndicator; ProjectPicker; ReadOnlyBanner; RetryAction; SurfaceTitle; TaskRow; TaskStatusControl; UrgencyIndicator; ValidationMessage</x:v>
      </x:c>
      <x:c r="J36" s="23" t="str">
        <x:v>P1</x:v>
      </x:c>
      <x:c r="K36" s="23" t="str">
        <x:v>Mapped</x:v>
      </x:c>
      <x:c r="L36" s="23" t="str">
        <x:v>Annotated storyboard or module prototype</x:v>
      </x:c>
      <x:c r="M36" s="26" t="str">
        <x:v>Visual evidence pending</x:v>
      </x:c>
    </x:row>
    <x:row r="37">
      <x:c r="A37" s="73" t="str">
        <x:v>FLOW-033</x:v>
      </x:c>
      <x:c r="B37" s="23" t="str">
        <x:v>Task &amp; Inbox</x:v>
      </x:c>
      <x:c r="C37" s="23" t="str">
        <x:v>Массовая смена статуса</x:v>
      </x:c>
      <x:c r="D37" s="23" t="str">
        <x:v>Manager/Employee with capability</x:v>
      </x:c>
      <x:c r="E37" s="23" t="str">
        <x:v>Transparent batch result</x:v>
      </x:c>
      <x:c r="F37" s="23" t="str">
        <x:v>SCR-020; SCR-031; SCR-209</x:v>
      </x:c>
      <x:c r="G37" s="23" t="str"/>
      <x:c r="H37" s="23" t="str">
        <x:v>Shared; Tasks</x:v>
      </x:c>
      <x:c r="I37" s="23" t="str">
        <x:v>BulkResultSummary; ConflictNotice; ConnectivityBanner; DataList; DialogShell; EmptyState; ErrorMessage; FieldLabel; FilterBar; FocusTrap; FormLayout; InspectorPanel; LoadingState; PageLayout; PeoplePicker; PermissionState; ProgressIndicator; ReadOnlyBanner; RecurrenceEditor; ReminderEditor; RetryAction; SearchBox; SelectionBar; SemanticStatus; SurfaceTitle; TaskRow; TaskStatusControl; TreeView; UrgencyIndicator; ValidationMessage</x:v>
      </x:c>
      <x:c r="J37" s="23" t="str">
        <x:v>P1</x:v>
      </x:c>
      <x:c r="K37" s="23" t="str">
        <x:v>Mapped</x:v>
      </x:c>
      <x:c r="L37" s="23" t="str">
        <x:v>Annotated storyboard or module prototype</x:v>
      </x:c>
      <x:c r="M37" s="26" t="str">
        <x:v>Visual evidence pending</x:v>
      </x:c>
    </x:row>
    <x:row r="38">
      <x:c r="A38" s="73" t="str">
        <x:v>FLOW-034</x:v>
      </x:c>
      <x:c r="B38" s="23" t="str">
        <x:v>Task &amp; Inbox</x:v>
      </x:c>
      <x:c r="C38" s="23" t="str">
        <x:v>Inbox capture и conversion</x:v>
      </x:c>
      <x:c r="D38" s="23" t="str">
        <x:v>Admin/Manager/Employee</x:v>
      </x:c>
      <x:c r="E38" s="23" t="str">
        <x:v>Auditable target conversion</x:v>
      </x:c>
      <x:c r="F38" s="23" t="str">
        <x:v>SCR-012; SCR-013; SCR-014; SCR-022; SCR-082</x:v>
      </x:c>
      <x:c r="G38" s="23" t="str"/>
      <x:c r="H38" s="23" t="str">
        <x:v>Files; Inbox; Tasks</x:v>
      </x:c>
      <x:c r="I38" s="23" t="str">
        <x:v>BulkResultSummary; ConflictNotice; ConnectivityBanner; ContextMenu; DataList; DateTimePicker; DialogShell; EmptyState; ErrorMessage; FieldLabel; FileLocationView; FilterBar; FocusTrap; FormLayout; InspectorPanel; PageLayout; PeoplePicker; PermissionState; PopoverSurface; ProjectPicker; ReadOnlyBanner; RecurrenceEditor; ReminderEditor; RetryAction; SurfaceTitle; TaskRow; TaskStatusControl; UrgencyIndicator; ValidationMessage</x:v>
      </x:c>
      <x:c r="J38" s="23" t="str">
        <x:v>P0</x:v>
      </x:c>
      <x:c r="K38" s="23" t="str">
        <x:v>Mapped</x:v>
      </x:c>
      <x:c r="L38" s="23" t="str">
        <x:v>Interactive prototype + keyboard walkthrough</x:v>
      </x:c>
      <x:c r="M38" s="26" t="str">
        <x:v>Visual evidence pending</x:v>
      </x:c>
    </x:row>
    <x:row r="39">
      <x:c r="A39" s="73" t="str">
        <x:v>FLOW-035</x:v>
      </x:c>
      <x:c r="B39" s="23" t="str">
        <x:v>Projects</x:v>
      </x:c>
      <x:c r="C39" s="23" t="str">
        <x:v>Завершение и архивирование проекта</x:v>
      </x:c>
      <x:c r="D39" s="23" t="str">
        <x:v>Owner/Manager</x:v>
      </x:c>
      <x:c r="E39" s="23" t="str">
        <x:v>Completion and archive remain distinct</x:v>
      </x:c>
      <x:c r="F39" s="23" t="str">
        <x:v>SCR-061; SCR-069; SCR-072; SCR-140; SCR-153</x:v>
      </x:c>
      <x:c r="G39" s="23" t="str">
        <x:v>STATE-007; STATE-014; STATE-025</x:v>
      </x:c>
      <x:c r="H39" s="23" t="str">
        <x:v>Lifecycle; Projects; Settings</x:v>
      </x:c>
      <x:c r="I39" s="23" t="str">
        <x:v>ConflictNotice; ConnectivityBanner; ContextMenu; DataList; DialogShell; EmptyState; ErrorMessage; FieldLabel; FilterBar; FocusTrap; FormLayout; LifecycleBanner; LoadingState; NotificationItem; PageLayout; PeoplePicker; PermissionState; ProgressIndicator; ProjectPicker; ReadOnlyBanner; RetryAction; SearchBox; SemanticStatus; SurfaceTitle; TimelineHistory; ValidationMessage</x:v>
      </x:c>
      <x:c r="J39" s="23" t="str">
        <x:v>P1</x:v>
      </x:c>
      <x:c r="K39" s="23" t="str">
        <x:v>Mapped</x:v>
      </x:c>
      <x:c r="L39" s="23" t="str">
        <x:v>Annotated storyboard or module prototype</x:v>
      </x:c>
      <x:c r="M39" s="26" t="str">
        <x:v>Visual evidence pending</x:v>
      </x:c>
    </x:row>
    <x:row r="40">
      <x:c r="A40" s="73" t="str">
        <x:v>FLOW-036</x:v>
      </x:c>
      <x:c r="B40" s="23" t="str">
        <x:v>Files</x:v>
      </x:c>
      <x:c r="C40" s="23" t="str">
        <x:v>Добавить альтернативный FileLocation</x:v>
      </x:c>
      <x:c r="D40" s="23" t="str">
        <x:v>Location editor</x:v>
      </x:c>
      <x:c r="E40" s="23" t="str">
        <x:v>Additional path without replacing old</x:v>
      </x:c>
      <x:c r="F40" s="23" t="str">
        <x:v>SCR-081; SCR-083; SCR-087; SCR-090; SCR-210</x:v>
      </x:c>
      <x:c r="G40" s="23" t="str"/>
      <x:c r="H40" s="23" t="str">
        <x:v>Files</x:v>
      </x:c>
      <x:c r="I40" s="23" t="str">
        <x:v>ConflictNotice; ConnectivityBanner; DataList; DialogShell; ErrorMessage; FieldLabel; FileLocationView; FocusTrap; FormLayout; InspectorPanel; LifecycleBanner; PageLayout; PermissionState; ReadOnlyBanner; RedactionMarker; RetryAction; SearchBox; SemanticStatus; SurfaceTitle; TimelineHistory; ValidationMessage</x:v>
      </x:c>
      <x:c r="J40" s="23" t="str">
        <x:v>P1</x:v>
      </x:c>
      <x:c r="K40" s="23" t="str">
        <x:v>Mapped</x:v>
      </x:c>
      <x:c r="L40" s="23" t="str">
        <x:v>Annotated storyboard or module prototype</x:v>
      </x:c>
      <x:c r="M40" s="26" t="str">
        <x:v>Visual evidence pending</x:v>
      </x:c>
    </x:row>
    <x:row r="41">
      <x:c r="A41" s="74" t="str">
        <x:v>FLOW-037</x:v>
      </x:c>
      <x:c r="B41" s="30" t="str">
        <x:v>CRM</x:v>
      </x:c>
      <x:c r="C41" s="30" t="str">
        <x:v>Создать Interaction</x:v>
      </x:c>
      <x:c r="D41" s="30" t="str">
        <x:v>CRM editor</x:v>
      </x:c>
      <x:c r="E41" s="30" t="str">
        <x:v>Manual interaction history</x:v>
      </x:c>
      <x:c r="F41" s="30" t="str">
        <x:v>SCR-110; SCR-111; SCR-113; SCR-116; SCR-117; SCR-118</x:v>
      </x:c>
      <x:c r="G41" s="30" t="str">
        <x:v>STATE-014; STATE-025</x:v>
      </x:c>
      <x:c r="H41" s="30" t="str">
        <x:v>CRM</x:v>
      </x:c>
      <x:c r="I41" s="30" t="str">
        <x:v>ConflictNotice; ConnectivityBanner; DataList; DateTimePicker; DialogShell; EmptyState; ErrorMessage; FieldLabel; FileLocationView; FilterBar; FocusTrap; FormLayout; InspectorPanel; LifecycleBanner; PageLayout; PermissionState; ProjectPicker; ReadOnlyBanner; RedactionMarker; RetryAction; SearchBox; SurfaceTitle; TaskRow; TaskStatusControl; UrgencyIndicator; ValidationMessage</x:v>
      </x:c>
      <x:c r="J41" s="30" t="str">
        <x:v>P1</x:v>
      </x:c>
      <x:c r="K41" s="30" t="str">
        <x:v>Mapped</x:v>
      </x:c>
      <x:c r="L41" s="30" t="str">
        <x:v>Annotated storyboard or module prototype</x:v>
      </x:c>
      <x:c r="M41" s="33" t="str">
        <x:v>Visual evidence pending</x:v>
      </x:c>
    </x:row>
  </x:sheetData>
  <x:mergeCells>
    <x:mergeCell ref="A1:M2"/>
    <x:mergeCell ref="A3:M3"/>
  </x:mergeCells>
  <x:conditionalFormatting sqref="K5:K41">
    <x:cfRule type="containsText" dxfId="15" priority="1" operator="containsText" text="Mapped"/>
  </x:conditionalFormatting>
  <x:conditionalFormatting sqref="M5:M41">
    <x:cfRule type="containsText" dxfId="16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a8f72c843b7144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8" hidden="0" customWidth="1"/>
    <x:col min="5" max="5" width="24" hidden="0" customWidth="1"/>
    <x:col min="6" max="6" width="16" hidden="0" customWidth="1"/>
    <x:col min="7" max="7" width="14" hidden="0" customWidth="1"/>
    <x:col min="8" max="8" width="34" hidden="0" customWidth="1"/>
    <x:col min="9" max="9" width="38" hidden="0" customWidth="1"/>
    <x:col min="10" max="10" width="34" hidden="0" customWidth="1"/>
  </x:cols>
  <x:sheetData>
    <x:row r="1">
      <x:c r="A1" s="3" t="str">
        <x:v>Stage 5 — STATE Coverage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 t="str">
        <x:v>30 исходных STATE нормализованы в Stage 4.6 Lite. Stage 5 не вводит скрытых состояний и должен дать визуальное/интерактивное доказательство для каждого канонического target.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7" t="str">
        <x:v>STATE reference</x:v>
      </x:c>
      <x:c r="B4" s="18" t="str">
        <x:v>Resolution</x:v>
      </x:c>
      <x:c r="C4" s="18" t="str">
        <x:v>Canonical target</x:v>
      </x:c>
      <x:c r="D4" s="18" t="str">
        <x:v>Canonical source</x:v>
      </x:c>
      <x:c r="E4" s="18" t="str">
        <x:v>Behavior completeness</x:v>
      </x:c>
      <x:c r="F4" s="18" t="str">
        <x:v>Hidden new STATE</x:v>
      </x:c>
      <x:c r="G4" s="18" t="str">
        <x:v>Canonical result</x:v>
      </x:c>
      <x:c r="H4" s="18" t="str">
        <x:v>Canonical evidence</x:v>
      </x:c>
      <x:c r="I4" s="18" t="str">
        <x:v>Required design evidence</x:v>
      </x:c>
      <x:c r="J4" s="19" t="str">
        <x:v>Design evidence status</x:v>
      </x:c>
    </x:row>
    <x:row r="5">
      <x:c r="A5" s="73" t="str">
        <x:v>STATE-001</x:v>
      </x:c>
      <x:c r="B5" s="23" t="str">
        <x:v>alias</x:v>
      </x:c>
      <x:c r="C5" s="23" t="str">
        <x:v>Initial</x:v>
      </x:c>
      <x:c r="D5" s="23" t="str">
        <x:v>Stage_3_State_Matrix_Final_3.5.md § State Matrix (published named behavior and exact row)</x:v>
      </x:c>
      <x:c r="E5" s="23" t="str">
        <x:v>PASS</x:v>
      </x:c>
      <x:c r="F5" s="23" t="str">
        <x:v>NO</x:v>
      </x:c>
      <x:c r="G5" s="23" t="str">
        <x:v>PASS</x:v>
      </x:c>
      <x:c r="H5" s="23" t="str">
        <x:v>Published State Matrix behavior.</x:v>
      </x:c>
      <x:c r="I5" s="23" t="str">
        <x:v>State component/spec + trigger, UI, actions and recovery evidence</x:v>
      </x:c>
      <x:c r="J5" s="26" t="str">
        <x:v>Visual evidence pending</x:v>
      </x:c>
    </x:row>
    <x:row r="6">
      <x:c r="A6" s="73" t="str">
        <x:v>STATE-002</x:v>
      </x:c>
      <x:c r="B6" s="23" t="str">
        <x:v>alias</x:v>
      </x:c>
      <x:c r="C6" s="23" t="str">
        <x:v>Loading</x:v>
      </x:c>
      <x:c r="D6" s="23" t="str">
        <x:v>Stage_3_State_Matrix_Final_3.5.md § State Matrix (published named behavior and exact row)</x:v>
      </x:c>
      <x:c r="E6" s="23" t="str">
        <x:v>PASS</x:v>
      </x:c>
      <x:c r="F6" s="23" t="str">
        <x:v>NO</x:v>
      </x:c>
      <x:c r="G6" s="23" t="str">
        <x:v>PASS</x:v>
      </x:c>
      <x:c r="H6" s="23" t="str">
        <x:v>Published State Matrix behavior.</x:v>
      </x:c>
      <x:c r="I6" s="23" t="str">
        <x:v>State component/spec + trigger, UI, actions and recovery evidence</x:v>
      </x:c>
      <x:c r="J6" s="26" t="str">
        <x:v>Visual evidence pending</x:v>
      </x:c>
    </x:row>
    <x:row r="7">
      <x:c r="A7" s="73" t="str">
        <x:v>STATE-003</x:v>
      </x:c>
      <x:c r="B7" s="23" t="str">
        <x:v>alias</x:v>
      </x:c>
      <x:c r="C7" s="23" t="str">
        <x:v>Refreshing</x:v>
      </x:c>
      <x:c r="D7" s="23" t="str">
        <x:v>Stage_3_State_Matrix_Final_3.5.md § State Matrix (published named behavior and exact row)</x:v>
      </x:c>
      <x:c r="E7" s="23" t="str">
        <x:v>PASS</x:v>
      </x:c>
      <x:c r="F7" s="23" t="str">
        <x:v>NO</x:v>
      </x:c>
      <x:c r="G7" s="23" t="str">
        <x:v>PASS</x:v>
      </x:c>
      <x:c r="H7" s="23" t="str">
        <x:v>Published State Matrix behavior.</x:v>
      </x:c>
      <x:c r="I7" s="23" t="str">
        <x:v>State component/spec + trigger, UI, actions and recovery evidence</x:v>
      </x:c>
      <x:c r="J7" s="26" t="str">
        <x:v>Visual evidence pending</x:v>
      </x:c>
    </x:row>
    <x:row r="8">
      <x:c r="A8" s="73" t="str">
        <x:v>STATE-004</x:v>
      </x:c>
      <x:c r="B8" s="23" t="str">
        <x:v>error/UI condition</x:v>
      </x:c>
      <x:c r="C8" s="23" t="str">
        <x:v>Not a STATE: Authorized loaded UI condition</x:v>
      </x:c>
      <x:c r="D8" s="23" t="str">
        <x:v>Stage_3_State_Matrix_Final_3.5.md § State Matrix (published named behavior and exact row)</x:v>
      </x:c>
      <x:c r="E8" s="23" t="str">
        <x:v>PASS</x:v>
      </x:c>
      <x:c r="F8" s="23" t="str">
        <x:v>NO</x:v>
      </x:c>
      <x:c r="G8" s="23" t="str">
        <x:v>PASS</x:v>
      </x:c>
      <x:c r="H8" s="23" t="str">
        <x:v>Loaded is a normal UI condition, not a published durable state.</x:v>
      </x:c>
      <x:c r="I8" s="23" t="str">
        <x:v>State component/spec + trigger, UI, actions and recovery evidence</x:v>
      </x:c>
      <x:c r="J8" s="26" t="str">
        <x:v>Visual evidence pending</x:v>
      </x:c>
    </x:row>
    <x:row r="9">
      <x:c r="A9" s="73" t="str">
        <x:v>STATE-005</x:v>
      </x:c>
      <x:c r="B9" s="23" t="str">
        <x:v>alias</x:v>
      </x:c>
      <x:c r="C9" s="23" t="str">
        <x:v>Empty</x:v>
      </x:c>
      <x:c r="D9" s="23" t="str">
        <x:v>Stage_3_State_Matrix_Final_3.5.md § State Matrix (published named behavior and exact row)</x:v>
      </x:c>
      <x:c r="E9" s="23" t="str">
        <x:v>PASS</x:v>
      </x:c>
      <x:c r="F9" s="23" t="str">
        <x:v>NO</x:v>
      </x:c>
      <x:c r="G9" s="23" t="str">
        <x:v>PASS</x:v>
      </x:c>
      <x:c r="H9" s="23" t="str">
        <x:v>Published State Matrix behavior.</x:v>
      </x:c>
      <x:c r="I9" s="23" t="str">
        <x:v>State component/spec + trigger, UI, actions and recovery evidence</x:v>
      </x:c>
      <x:c r="J9" s="26" t="str">
        <x:v>Visual evidence pending</x:v>
      </x:c>
    </x:row>
    <x:row r="10">
      <x:c r="A10" s="73" t="str">
        <x:v>STATE-006</x:v>
      </x:c>
      <x:c r="B10" s="23" t="str">
        <x:v>alias</x:v>
      </x:c>
      <x:c r="C10" s="23" t="str">
        <x:v>FilteredEmpty</x:v>
      </x:c>
      <x:c r="D10" s="23" t="str">
        <x:v>Stage_3_State_Matrix_Final_3.5.md § State Matrix (published named behavior and exact row)</x:v>
      </x:c>
      <x:c r="E10" s="23" t="str">
        <x:v>PASS</x:v>
      </x:c>
      <x:c r="F10" s="23" t="str">
        <x:v>NO</x:v>
      </x:c>
      <x:c r="G10" s="23" t="str">
        <x:v>PASS</x:v>
      </x:c>
      <x:c r="H10" s="23" t="str">
        <x:v>Published State Matrix behavior.</x:v>
      </x:c>
      <x:c r="I10" s="23" t="str">
        <x:v>State component/spec + trigger, UI, actions and recovery evidence</x:v>
      </x:c>
      <x:c r="J10" s="26" t="str">
        <x:v>Visual evidence pending</x:v>
      </x:c>
    </x:row>
    <x:row r="11">
      <x:c r="A11" s="73" t="str">
        <x:v>STATE-008</x:v>
      </x:c>
      <x:c r="B11" s="23" t="str">
        <x:v>alias</x:v>
      </x:c>
      <x:c r="C11" s="23" t="str">
        <x:v>Forbidden</x:v>
      </x:c>
      <x:c r="D11" s="23" t="str">
        <x:v>Stage_3_State_Matrix_Final_3.5.md § State Matrix (published named behavior and exact row)</x:v>
      </x:c>
      <x:c r="E11" s="23" t="str">
        <x:v>PASS</x:v>
      </x:c>
      <x:c r="F11" s="23" t="str">
        <x:v>NO</x:v>
      </x:c>
      <x:c r="G11" s="23" t="str">
        <x:v>PASS</x:v>
      </x:c>
      <x:c r="H11" s="23" t="str">
        <x:v>Published State Matrix behavior.</x:v>
      </x:c>
      <x:c r="I11" s="23" t="str">
        <x:v>State component/spec + trigger, UI, actions and recovery evidence</x:v>
      </x:c>
      <x:c r="J11" s="26" t="str">
        <x:v>Visual evidence pending</x:v>
      </x:c>
    </x:row>
    <x:row r="12">
      <x:c r="A12" s="73" t="str">
        <x:v>STATE-009</x:v>
      </x:c>
      <x:c r="B12" s="23" t="str">
        <x:v>alias</x:v>
      </x:c>
      <x:c r="C12" s="23" t="str">
        <x:v>ObjectUnavailable</x:v>
      </x:c>
      <x:c r="D12" s="23" t="str">
        <x:v>Stage_3_State_Matrix_Final_3.5.md § State Matrix (published named behavior and exact row)</x:v>
      </x:c>
      <x:c r="E12" s="23" t="str">
        <x:v>PASS</x:v>
      </x:c>
      <x:c r="F12" s="23" t="str">
        <x:v>NO</x:v>
      </x:c>
      <x:c r="G12" s="23" t="str">
        <x:v>PASS</x:v>
      </x:c>
      <x:c r="H12" s="23" t="str">
        <x:v>Published State Matrix behavior.</x:v>
      </x:c>
      <x:c r="I12" s="23" t="str">
        <x:v>State component/spec + trigger, UI, actions and recovery evidence</x:v>
      </x:c>
      <x:c r="J12" s="26" t="str">
        <x:v>Visual evidence pending</x:v>
      </x:c>
    </x:row>
    <x:row r="13">
      <x:c r="A13" s="73" t="str">
        <x:v>STATE-010</x:v>
      </x:c>
      <x:c r="B13" s="23" t="str">
        <x:v>alias</x:v>
      </x:c>
      <x:c r="C13" s="23" t="str">
        <x:v>ServerUnavailable</x:v>
      </x:c>
      <x:c r="D13" s="23" t="str">
        <x:v>Stage_3_State_Matrix_Final_3.5.md § State Matrix (published named behavior and exact row)</x:v>
      </x:c>
      <x:c r="E13" s="23" t="str">
        <x:v>PASS</x:v>
      </x:c>
      <x:c r="F13" s="23" t="str">
        <x:v>NO</x:v>
      </x:c>
      <x:c r="G13" s="23" t="str">
        <x:v>PASS</x:v>
      </x:c>
      <x:c r="H13" s="23" t="str">
        <x:v>Published State Matrix behavior.</x:v>
      </x:c>
      <x:c r="I13" s="23" t="str">
        <x:v>State component/spec + trigger, UI, actions and recovery evidence</x:v>
      </x:c>
      <x:c r="J13" s="26" t="str">
        <x:v>Visual evidence pending</x:v>
      </x:c>
    </x:row>
    <x:row r="14">
      <x:c r="A14" s="73" t="str">
        <x:v>STATE-011</x:v>
      </x:c>
      <x:c r="B14" s="23" t="str">
        <x:v>alias</x:v>
      </x:c>
      <x:c r="C14" s="23" t="str">
        <x:v>ServerUnavailable (cached read-only presentation)</x:v>
      </x:c>
      <x:c r="D14" s="23" t="str">
        <x:v>Stage_3_State_Matrix_Final_3.5.md § State Matrix (published named behavior and exact row)</x:v>
      </x:c>
      <x:c r="E14" s="23" t="str">
        <x:v>PASS</x:v>
      </x:c>
      <x:c r="F14" s="23" t="str">
        <x:v>NO</x:v>
      </x:c>
      <x:c r="G14" s="23" t="str">
        <x:v>PASS</x:v>
      </x:c>
      <x:c r="H14" s="23" t="str">
        <x:v>Read-only cache is a presentation of the published outage behavior.</x:v>
      </x:c>
      <x:c r="I14" s="23" t="str">
        <x:v>State component/spec + trigger, UI, actions and recovery evidence</x:v>
      </x:c>
      <x:c r="J14" s="26" t="str">
        <x:v>Visual evidence pending</x:v>
      </x:c>
    </x:row>
    <x:row r="15">
      <x:c r="A15" s="73" t="str">
        <x:v>STATE-012</x:v>
      </x:c>
      <x:c r="B15" s="23" t="str">
        <x:v>alias</x:v>
      </x:c>
      <x:c r="C15" s="23" t="str">
        <x:v>Reconnecting</x:v>
      </x:c>
      <x:c r="D15" s="23" t="str">
        <x:v>Stage_3_State_Matrix_Final_3.5.md § State Matrix (published named behavior and exact row)</x:v>
      </x:c>
      <x:c r="E15" s="23" t="str">
        <x:v>PASS</x:v>
      </x:c>
      <x:c r="F15" s="23" t="str">
        <x:v>NO</x:v>
      </x:c>
      <x:c r="G15" s="23" t="str">
        <x:v>PASS</x:v>
      </x:c>
      <x:c r="H15" s="23" t="str">
        <x:v>Published State Matrix behavior.</x:v>
      </x:c>
      <x:c r="I15" s="23" t="str">
        <x:v>State component/spec + trigger, UI, actions and recovery evidence</x:v>
      </x:c>
      <x:c r="J15" s="26" t="str">
        <x:v>Visual evidence pending</x:v>
      </x:c>
    </x:row>
    <x:row r="16">
      <x:c r="A16" s="73" t="str">
        <x:v>STATE-013</x:v>
      </x:c>
      <x:c r="B16" s="23" t="str">
        <x:v>alias</x:v>
      </x:c>
      <x:c r="C16" s="23" t="str">
        <x:v>SyncPending</x:v>
      </x:c>
      <x:c r="D16" s="23" t="str">
        <x:v>Stage_3_State_Matrix_Final_3.5.md § State Matrix (published named behavior and exact row)</x:v>
      </x:c>
      <x:c r="E16" s="23" t="str">
        <x:v>PASS</x:v>
      </x:c>
      <x:c r="F16" s="23" t="str">
        <x:v>NO</x:v>
      </x:c>
      <x:c r="G16" s="23" t="str">
        <x:v>PASS</x:v>
      </x:c>
      <x:c r="H16" s="23" t="str">
        <x:v>Published State Matrix behavior.</x:v>
      </x:c>
      <x:c r="I16" s="23" t="str">
        <x:v>State component/spec + trigger, UI, actions and recovery evidence</x:v>
      </x:c>
      <x:c r="J16" s="26" t="str">
        <x:v>Visual evidence pending</x:v>
      </x:c>
    </x:row>
    <x:row r="17">
      <x:c r="A17" s="73" t="str">
        <x:v>STATE-015</x:v>
      </x:c>
      <x:c r="B17" s="23" t="str">
        <x:v>error/UI condition</x:v>
      </x:c>
      <x:c r="C17" s="23" t="str">
        <x:v>Not a STATE: Freshness indication UI condition</x:v>
      </x:c>
      <x:c r="D17" s="23" t="str">
        <x:v>Stage_3_State_Matrix_Final_3.5.md § State Matrix (published named behavior and exact row)</x:v>
      </x:c>
      <x:c r="E17" s="23" t="str">
        <x:v>PASS</x:v>
      </x:c>
      <x:c r="F17" s="23" t="str">
        <x:v>NO</x:v>
      </x:c>
      <x:c r="G17" s="23" t="str">
        <x:v>PASS</x:v>
      </x:c>
      <x:c r="H17" s="23" t="str">
        <x:v>Stale data is a UI condition; Stage 3.5 does not publish it as a State ID.</x:v>
      </x:c>
      <x:c r="I17" s="23" t="str">
        <x:v>State component/spec + trigger, UI, actions and recovery evidence</x:v>
      </x:c>
      <x:c r="J17" s="26" t="str">
        <x:v>Visual evidence pending</x:v>
      </x:c>
    </x:row>
    <x:row r="18">
      <x:c r="A18" s="73" t="str">
        <x:v>STATE-016</x:v>
      </x:c>
      <x:c r="B18" s="23" t="str">
        <x:v>alias</x:v>
      </x:c>
      <x:c r="C18" s="23" t="str">
        <x:v>PartialAccess</x:v>
      </x:c>
      <x:c r="D18" s="23" t="str">
        <x:v>Stage_3_State_Matrix_Final_3.5.md § State Matrix (published named behavior and exact row)</x:v>
      </x:c>
      <x:c r="E18" s="23" t="str">
        <x:v>PASS</x:v>
      </x:c>
      <x:c r="F18" s="23" t="str">
        <x:v>NO</x:v>
      </x:c>
      <x:c r="G18" s="23" t="str">
        <x:v>PASS</x:v>
      </x:c>
      <x:c r="H18" s="23" t="str">
        <x:v>Published State Matrix behavior.</x:v>
      </x:c>
      <x:c r="I18" s="23" t="str">
        <x:v>State component/spec + trigger, UI, actions and recovery evidence</x:v>
      </x:c>
      <x:c r="J18" s="26" t="str">
        <x:v>Visual evidence pending</x:v>
      </x:c>
    </x:row>
    <x:row r="19">
      <x:c r="A19" s="73" t="str">
        <x:v>STATE-017</x:v>
      </x:c>
      <x:c r="B19" s="23" t="str">
        <x:v>alias</x:v>
      </x:c>
      <x:c r="C19" s="23" t="str">
        <x:v>Archived</x:v>
      </x:c>
      <x:c r="D19" s="23" t="str">
        <x:v>Stage_3_State_Matrix_Final_3.5.md § State Matrix (published named behavior and exact row)</x:v>
      </x:c>
      <x:c r="E19" s="23" t="str">
        <x:v>PASS</x:v>
      </x:c>
      <x:c r="F19" s="23" t="str">
        <x:v>NO</x:v>
      </x:c>
      <x:c r="G19" s="23" t="str">
        <x:v>PASS</x:v>
      </x:c>
      <x:c r="H19" s="23" t="str">
        <x:v>Published State Matrix behavior.</x:v>
      </x:c>
      <x:c r="I19" s="23" t="str">
        <x:v>State component/spec + trigger, UI, actions and recovery evidence</x:v>
      </x:c>
      <x:c r="J19" s="26" t="str">
        <x:v>Visual evidence pending</x:v>
      </x:c>
    </x:row>
    <x:row r="20">
      <x:c r="A20" s="73" t="str">
        <x:v>STATE-018</x:v>
      </x:c>
      <x:c r="B20" s="23" t="str">
        <x:v>alias</x:v>
      </x:c>
      <x:c r="C20" s="23" t="str">
        <x:v>Trashed</x:v>
      </x:c>
      <x:c r="D20" s="23" t="str">
        <x:v>Stage_3_State_Matrix_Final_3.5.md § State Matrix (published named behavior and exact row)</x:v>
      </x:c>
      <x:c r="E20" s="23" t="str">
        <x:v>PASS</x:v>
      </x:c>
      <x:c r="F20" s="23" t="str">
        <x:v>NO</x:v>
      </x:c>
      <x:c r="G20" s="23" t="str">
        <x:v>PASS</x:v>
      </x:c>
      <x:c r="H20" s="23" t="str">
        <x:v>Published State Matrix behavior.</x:v>
      </x:c>
      <x:c r="I20" s="23" t="str">
        <x:v>State component/spec + trigger, UI, actions and recovery evidence</x:v>
      </x:c>
      <x:c r="J20" s="26" t="str">
        <x:v>Visual evidence pending</x:v>
      </x:c>
    </x:row>
    <x:row r="21">
      <x:c r="A21" s="73" t="str">
        <x:v>STATE-019</x:v>
      </x:c>
      <x:c r="B21" s="23" t="str">
        <x:v>alias</x:v>
      </x:c>
      <x:c r="C21" s="23" t="str">
        <x:v>BackgroundOperation</x:v>
      </x:c>
      <x:c r="D21" s="23" t="str">
        <x:v>Stage_3_State_Matrix_Final_3.5.md § State Matrix (published named behavior and exact row)</x:v>
      </x:c>
      <x:c r="E21" s="23" t="str">
        <x:v>PASS</x:v>
      </x:c>
      <x:c r="F21" s="23" t="str">
        <x:v>NO</x:v>
      </x:c>
      <x:c r="G21" s="23" t="str">
        <x:v>PASS</x:v>
      </x:c>
      <x:c r="H21" s="23" t="str">
        <x:v>Published State Matrix behavior.</x:v>
      </x:c>
      <x:c r="I21" s="23" t="str">
        <x:v>State component/spec + trigger, UI, actions and recovery evidence</x:v>
      </x:c>
      <x:c r="J21" s="26" t="str">
        <x:v>Visual evidence pending</x:v>
      </x:c>
    </x:row>
    <x:row r="22">
      <x:c r="A22" s="73" t="str">
        <x:v>STATE-020</x:v>
      </x:c>
      <x:c r="B22" s="23" t="str">
        <x:v>error/UI condition</x:v>
      </x:c>
      <x:c r="C22" s="23" t="str">
        <x:v>Not a STATE: Stable-error-specific recovery</x:v>
      </x:c>
      <x:c r="D22" s="23" t="str">
        <x:v>Stage_3_State_Matrix_Final_3.5.md § State Matrix (published named behavior and exact row)</x:v>
      </x:c>
      <x:c r="E22" s="23" t="str">
        <x:v>PASS</x:v>
      </x:c>
      <x:c r="F22" s="23" t="str">
        <x:v>NO</x:v>
      </x:c>
      <x:c r="G22" s="23" t="str">
        <x:v>PASS</x:v>
      </x:c>
      <x:c r="H22" s="23" t="str">
        <x:v>RecoverableFailure conflated RateLimited, Timeout and IdempotencyKeyReused; active PRD now references the stable error.</x:v>
      </x:c>
      <x:c r="I22" s="23" t="str">
        <x:v>State component/spec + trigger, UI, actions and recovery evidence</x:v>
      </x:c>
      <x:c r="J22" s="26" t="str">
        <x:v>Visual evidence pending</x:v>
      </x:c>
    </x:row>
    <x:row r="23">
      <x:c r="A23" s="73" t="str">
        <x:v>STATE-021</x:v>
      </x:c>
      <x:c r="B23" s="23" t="str">
        <x:v>error/UI condition</x:v>
      </x:c>
      <x:c r="C23" s="23" t="str">
        <x:v>Not a STATE: Stable-error-specific recovery</x:v>
      </x:c>
      <x:c r="D23" s="23" t="str">
        <x:v>Stage_3_State_Matrix_Final_3.5.md § State Matrix (published named behavior and exact row)</x:v>
      </x:c>
      <x:c r="E23" s="23" t="str">
        <x:v>PASS</x:v>
      </x:c>
      <x:c r="F23" s="23" t="str">
        <x:v>NO</x:v>
      </x:c>
      <x:c r="G23" s="23" t="str">
        <x:v>PASS</x:v>
      </x:c>
      <x:c r="H23" s="23" t="str">
        <x:v>UnrecoverableFailure conflated malformed input and internal failures; active PRD now references the stable error.</x:v>
      </x:c>
      <x:c r="I23" s="23" t="str">
        <x:v>State component/spec + trigger, UI, actions and recovery evidence</x:v>
      </x:c>
      <x:c r="J23" s="26" t="str">
        <x:v>Visual evidence pending</x:v>
      </x:c>
    </x:row>
    <x:row r="24">
      <x:c r="A24" s="73" t="str">
        <x:v>STATE-022</x:v>
      </x:c>
      <x:c r="B24" s="23" t="str">
        <x:v>alias</x:v>
      </x:c>
      <x:c r="C24" s="23" t="str">
        <x:v>Maintenance</x:v>
      </x:c>
      <x:c r="D24" s="23" t="str">
        <x:v>Stage_3_State_Matrix_Final_3.5.md § State Matrix (published named behavior and exact row)</x:v>
      </x:c>
      <x:c r="E24" s="23" t="str">
        <x:v>PASS</x:v>
      </x:c>
      <x:c r="F24" s="23" t="str">
        <x:v>NO</x:v>
      </x:c>
      <x:c r="G24" s="23" t="str">
        <x:v>PASS</x:v>
      </x:c>
      <x:c r="H24" s="23" t="str">
        <x:v>Published State Matrix behavior.</x:v>
      </x:c>
      <x:c r="I24" s="23" t="str">
        <x:v>State component/spec + trigger, UI, actions and recovery evidence</x:v>
      </x:c>
      <x:c r="J24" s="26" t="str">
        <x:v>Visual evidence pending</x:v>
      </x:c>
    </x:row>
    <x:row r="25">
      <x:c r="A25" s="73" t="str">
        <x:v>STATE-023</x:v>
      </x:c>
      <x:c r="B25" s="23" t="str">
        <x:v>alias</x:v>
      </x:c>
      <x:c r="C25" s="23" t="str">
        <x:v>ClientUnsupported</x:v>
      </x:c>
      <x:c r="D25" s="23" t="str">
        <x:v>Stage_3_State_Matrix_Final_3.5.md § State Matrix (published named behavior and exact row)</x:v>
      </x:c>
      <x:c r="E25" s="23" t="str">
        <x:v>PASS</x:v>
      </x:c>
      <x:c r="F25" s="23" t="str">
        <x:v>NO</x:v>
      </x:c>
      <x:c r="G25" s="23" t="str">
        <x:v>PASS</x:v>
      </x:c>
      <x:c r="H25" s="23" t="str">
        <x:v>Published State Matrix behavior.</x:v>
      </x:c>
      <x:c r="I25" s="23" t="str">
        <x:v>State component/spec + trigger, UI, actions and recovery evidence</x:v>
      </x:c>
      <x:c r="J25" s="26" t="str">
        <x:v>Visual evidence pending</x:v>
      </x:c>
    </x:row>
    <x:row r="26">
      <x:c r="A26" s="73" t="str">
        <x:v>STATE-024</x:v>
      </x:c>
      <x:c r="B26" s="23" t="str">
        <x:v>alias</x:v>
      </x:c>
      <x:c r="C26" s="23" t="str">
        <x:v>AccessScopeChanged</x:v>
      </x:c>
      <x:c r="D26" s="23" t="str">
        <x:v>Stage_3_State_Matrix_Final_3.5.md § State Matrix (published named behavior and exact row)</x:v>
      </x:c>
      <x:c r="E26" s="23" t="str">
        <x:v>PASS</x:v>
      </x:c>
      <x:c r="F26" s="23" t="str">
        <x:v>NO</x:v>
      </x:c>
      <x:c r="G26" s="23" t="str">
        <x:v>PASS</x:v>
      </x:c>
      <x:c r="H26" s="23" t="str">
        <x:v>Published State Matrix behavior.</x:v>
      </x:c>
      <x:c r="I26" s="23" t="str">
        <x:v>State component/spec + trigger, UI, actions and recovery evidence</x:v>
      </x:c>
      <x:c r="J26" s="26" t="str">
        <x:v>Visual evidence pending</x:v>
      </x:c>
    </x:row>
    <x:row r="27">
      <x:c r="A27" s="73" t="str">
        <x:v>STATE-032</x:v>
      </x:c>
      <x:c r="B27" s="23" t="str">
        <x:v>error/UI condition</x:v>
      </x:c>
      <x:c r="C27" s="23" t="str">
        <x:v>Not a STATE: Authentication/session error handling</x:v>
      </x:c>
      <x:c r="D27" s="23" t="str">
        <x:v>Stage_3_State_Matrix_Final_3.5.md § State Matrix (published named behavior and exact row)</x:v>
      </x:c>
      <x:c r="E27" s="23" t="str">
        <x:v>PASS</x:v>
      </x:c>
      <x:c r="F27" s="23" t="str">
        <x:v>NO</x:v>
      </x:c>
      <x:c r="G27" s="23" t="str">
        <x:v>PASS</x:v>
      </x:c>
      <x:c r="H27" s="23" t="str">
        <x:v>Session expiry is a stable-error recovery path, not a published Stage 3.5 State ID.</x:v>
      </x:c>
      <x:c r="I27" s="23" t="str">
        <x:v>State component/spec + trigger, UI, actions and recovery evidence</x:v>
      </x:c>
      <x:c r="J27" s="26" t="str">
        <x:v>Visual evidence pending</x:v>
      </x:c>
    </x:row>
    <x:row r="28">
      <x:c r="A28" s="73" t="str">
        <x:v>STATE-033</x:v>
      </x:c>
      <x:c r="B28" s="23" t="str">
        <x:v>error/UI condition</x:v>
      </x:c>
      <x:c r="C28" s="23" t="str">
        <x:v>Not a STATE: Authentication/session error handling</x:v>
      </x:c>
      <x:c r="D28" s="23" t="str">
        <x:v>Stage_3_State_Matrix_Final_3.5.md § State Matrix (published named behavior and exact row)</x:v>
      </x:c>
      <x:c r="E28" s="23" t="str">
        <x:v>PASS</x:v>
      </x:c>
      <x:c r="F28" s="23" t="str">
        <x:v>NO</x:v>
      </x:c>
      <x:c r="G28" s="23" t="str">
        <x:v>PASS</x:v>
      </x:c>
      <x:c r="H28" s="23" t="str">
        <x:v>Session revocation is a stable-error recovery path, not a published Stage 3.5 State ID.</x:v>
      </x:c>
      <x:c r="I28" s="23" t="str">
        <x:v>State component/spec + trigger, UI, actions and recovery evidence</x:v>
      </x:c>
      <x:c r="J28" s="26" t="str">
        <x:v>Visual evidence pending</x:v>
      </x:c>
    </x:row>
    <x:row r="29">
      <x:c r="A29" s="73" t="str">
        <x:v>STATE-034</x:v>
      </x:c>
      <x:c r="B29" s="23" t="str">
        <x:v>error/UI condition</x:v>
      </x:c>
      <x:c r="C29" s="23" t="str">
        <x:v>Not a STATE: Device-revocation error handling</x:v>
      </x:c>
      <x:c r="D29" s="23" t="str">
        <x:v>Stage_3_State_Matrix_Final_3.5.md § State Matrix (published named behavior and exact row)</x:v>
      </x:c>
      <x:c r="E29" s="23" t="str">
        <x:v>PASS</x:v>
      </x:c>
      <x:c r="F29" s="23" t="str">
        <x:v>NO</x:v>
      </x:c>
      <x:c r="G29" s="23" t="str">
        <x:v>PASS</x:v>
      </x:c>
      <x:c r="H29" s="23" t="str">
        <x:v>Device revocation is an error-handling path, not a published Stage 3.5 State ID.</x:v>
      </x:c>
      <x:c r="I29" s="23" t="str">
        <x:v>State component/spec + trigger, UI, actions and recovery evidence</x:v>
      </x:c>
      <x:c r="J29" s="26" t="str">
        <x:v>Visual evidence pending</x:v>
      </x:c>
    </x:row>
    <x:row r="30">
      <x:c r="A30" s="73" t="str">
        <x:v>STATE-035</x:v>
      </x:c>
      <x:c r="B30" s="23" t="str">
        <x:v>alias</x:v>
      </x:c>
      <x:c r="C30" s="23" t="str">
        <x:v>StorageFull</x:v>
      </x:c>
      <x:c r="D30" s="23" t="str">
        <x:v>Stage_3_State_Matrix_Final_3.5.md § State Matrix (published named behavior and exact row)</x:v>
      </x:c>
      <x:c r="E30" s="23" t="str">
        <x:v>PASS</x:v>
      </x:c>
      <x:c r="F30" s="23" t="str">
        <x:v>NO</x:v>
      </x:c>
      <x:c r="G30" s="23" t="str">
        <x:v>PASS</x:v>
      </x:c>
      <x:c r="H30" s="23" t="str">
        <x:v>Published State Matrix behavior.</x:v>
      </x:c>
      <x:c r="I30" s="23" t="str">
        <x:v>State component/spec + trigger, UI, actions and recovery evidence</x:v>
      </x:c>
      <x:c r="J30" s="26" t="str">
        <x:v>Visual evidence pending</x:v>
      </x:c>
    </x:row>
    <x:row r="31">
      <x:c r="A31" s="73" t="str">
        <x:v>STATE-036</x:v>
      </x:c>
      <x:c r="B31" s="23" t="str">
        <x:v>alias</x:v>
      </x:c>
      <x:c r="C31" s="23" t="str">
        <x:v>CursorExpired</x:v>
      </x:c>
      <x:c r="D31" s="23" t="str">
        <x:v>Stage_3_State_Matrix_Final_3.5.md § State Matrix (published named behavior and exact row)</x:v>
      </x:c>
      <x:c r="E31" s="23" t="str">
        <x:v>PASS</x:v>
      </x:c>
      <x:c r="F31" s="23" t="str">
        <x:v>NO</x:v>
      </x:c>
      <x:c r="G31" s="23" t="str">
        <x:v>PASS</x:v>
      </x:c>
      <x:c r="H31" s="23" t="str">
        <x:v>Published State Matrix behavior.</x:v>
      </x:c>
      <x:c r="I31" s="23" t="str">
        <x:v>State component/spec + trigger, UI, actions and recovery evidence</x:v>
      </x:c>
      <x:c r="J31" s="26" t="str">
        <x:v>Visual evidence pending</x:v>
      </x:c>
    </x:row>
    <x:row r="32">
      <x:c r="A32" s="73" t="str">
        <x:v>STATE-037</x:v>
      </x:c>
      <x:c r="B32" s="23" t="str">
        <x:v>error/UI condition</x:v>
      </x:c>
      <x:c r="C32" s="23" t="str">
        <x:v>Not a STATE: Account-blocked error handling</x:v>
      </x:c>
      <x:c r="D32" s="23" t="str">
        <x:v>Stage_3_State_Matrix_Final_3.5.md § State Matrix (published named behavior and exact row)</x:v>
      </x:c>
      <x:c r="E32" s="23" t="str">
        <x:v>PASS</x:v>
      </x:c>
      <x:c r="F32" s="23" t="str">
        <x:v>NO</x:v>
      </x:c>
      <x:c r="G32" s="23" t="str">
        <x:v>PASS</x:v>
      </x:c>
      <x:c r="H32" s="23" t="str">
        <x:v>Account blocked is handled by its stable error and is not a published State ID.</x:v>
      </x:c>
      <x:c r="I32" s="23" t="str">
        <x:v>State component/spec + trigger, UI, actions and recovery evidence</x:v>
      </x:c>
      <x:c r="J32" s="26" t="str">
        <x:v>Visual evidence pending</x:v>
      </x:c>
    </x:row>
    <x:row r="33">
      <x:c r="A33" s="73" t="str">
        <x:v>STATE-038</x:v>
      </x:c>
      <x:c r="B33" s="23" t="str">
        <x:v>error/UI condition</x:v>
      </x:c>
      <x:c r="C33" s="23" t="str">
        <x:v>Not a STATE: Account-lock error handling</x:v>
      </x:c>
      <x:c r="D33" s="23" t="str">
        <x:v>Stage_3_State_Matrix_Final_3.5.md § State Matrix (published named behavior and exact row)</x:v>
      </x:c>
      <x:c r="E33" s="23" t="str">
        <x:v>PASS</x:v>
      </x:c>
      <x:c r="F33" s="23" t="str">
        <x:v>NO</x:v>
      </x:c>
      <x:c r="G33" s="23" t="str">
        <x:v>PASS</x:v>
      </x:c>
      <x:c r="H33" s="23" t="str">
        <x:v>Temporary account lock is handled by its stable error and is not a published State ID.</x:v>
      </x:c>
      <x:c r="I33" s="23" t="str">
        <x:v>State component/spec + trigger, UI, actions and recovery evidence</x:v>
      </x:c>
      <x:c r="J33" s="26" t="str">
        <x:v>Visual evidence pending</x:v>
      </x:c>
    </x:row>
    <x:row r="34">
      <x:c r="A34" s="74" t="str">
        <x:v>STATE-039</x:v>
      </x:c>
      <x:c r="B34" s="30" t="str">
        <x:v>error/UI condition</x:v>
      </x:c>
      <x:c r="C34" s="30" t="str">
        <x:v>Not a STATE: Authentication-failed error handling</x:v>
      </x:c>
      <x:c r="D34" s="30" t="str">
        <x:v>Stage_3_State_Matrix_Final_3.5.md § State Matrix (published named behavior and exact row)</x:v>
      </x:c>
      <x:c r="E34" s="30" t="str">
        <x:v>PASS</x:v>
      </x:c>
      <x:c r="F34" s="30" t="str">
        <x:v>NO</x:v>
      </x:c>
      <x:c r="G34" s="30" t="str">
        <x:v>PASS</x:v>
      </x:c>
      <x:c r="H34" s="30" t="str">
        <x:v>Authentication failure is handled by INVALID_CREDENTIALS and is not a published State ID.</x:v>
      </x:c>
      <x:c r="I34" s="30" t="str">
        <x:v>State component/spec + trigger, UI, actions and recovery evidence</x:v>
      </x:c>
      <x:c r="J34" s="33" t="str">
        <x:v>Visual evidence pending</x:v>
      </x:c>
    </x:row>
  </x:sheetData>
  <x:mergeCells>
    <x:mergeCell ref="A1:J2"/>
    <x:mergeCell ref="A3:J3"/>
  </x:mergeCells>
  <x:conditionalFormatting sqref="G5:G34">
    <x:cfRule type="containsText" dxfId="17" priority="1" operator="containsText" text="PASS"/>
  </x:conditionalFormatting>
  <x:conditionalFormatting sqref="J5:J34">
    <x:cfRule type="containsText" dxfId="18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c11c828691144c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42" hidden="0" customWidth="1"/>
    <x:col min="5" max="5" width="42" hidden="0" customWidth="1"/>
    <x:col min="6" max="6" width="20" hidden="0" customWidth="1"/>
    <x:col min="7" max="7" width="30" hidden="0" customWidth="1"/>
    <x:col min="8" max="8" width="40" hidden="0" customWidth="1"/>
    <x:col min="9" max="9" width="12" hidden="0" customWidth="1"/>
    <x:col min="10" max="10" width="34" hidden="0" customWidth="1"/>
  </x:cols>
  <x:sheetData>
    <x:row r="1">
      <x:c r="A1" s="3" t="str">
        <x:v>Stage 5 — NFR Coverage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 t="str">
        <x:v>25/25 NFR привязаны к требуемому design/QA evidence. NFR-002–005 уже имеют рабочий accessibility baseline; финальные доказательства собираются на Gates 5.2–5.4.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7" t="str">
        <x:v>NFR ID</x:v>
      </x:c>
      <x:c r="B4" s="18" t="str">
        <x:v>Area</x:v>
      </x:c>
      <x:c r="C4" s="18" t="str">
        <x:v>Requirement</x:v>
      </x:c>
      <x:c r="D4" s="18" t="str">
        <x:v>Target</x:v>
      </x:c>
      <x:c r="E4" s="18" t="str">
        <x:v>Measurement</x:v>
      </x:c>
      <x:c r="F4" s="18" t="str">
        <x:v>Modules</x:v>
      </x:c>
      <x:c r="G4" s="18" t="str">
        <x:v>Canonical source</x:v>
      </x:c>
      <x:c r="H4" s="18" t="str">
        <x:v>Required Stage 5 evidence</x:v>
      </x:c>
      <x:c r="I4" s="18" t="str">
        <x:v>Mapping</x:v>
      </x:c>
      <x:c r="J4" s="19" t="str">
        <x:v>Evidence status</x:v>
      </x:c>
    </x:row>
    <x:row r="5">
      <x:c r="A5" s="73" t="str">
        <x:v>NFR-001</x:v>
      </x:c>
      <x:c r="B5" s="23" t="str">
        <x:v>Platform</x:v>
      </x:c>
      <x:c r="C5" s="23" t="str">
        <x:v>Desktop client supports corporate Windows 10/11 editions approved by the company.</x:v>
      </x:c>
      <x:c r="D5" s="23" t="str">
        <x:v>Every company-approved Windows 10/11 image installs, launches, signs in and exits without unsupported runtime or privilege requirement.</x:v>
      </x:c>
      <x:c r="E5" s="23" t="str">
        <x:v>Versioned install/launch/sign-in/logout smoke matrix on each approved corporate image; 0 failed required step.</x:v>
      </x:c>
      <x:c r="F5" s="23" t="str">
        <x:v>ALL</x:v>
      </x:c>
      <x:c r="G5" s="23" t="str">
        <x:v>Architecture §0.5/technology profile</x:v>
      </x:c>
      <x:c r="H5" s="23" t="str">
        <x:v>NFR-specific design specification + prototype/QA evidence</x:v>
      </x:c>
      <x:c r="I5" s="23" t="str">
        <x:v>Mapped</x:v>
      </x:c>
      <x:c r="J5" s="26" t="str">
        <x:v>Visual/QA evidence pending</x:v>
      </x:c>
    </x:row>
    <x:row r="6">
      <x:c r="A6" s="73" t="str">
        <x:v>NFR-002</x:v>
      </x:c>
      <x:c r="B6" s="23" t="str">
        <x:v>Desktop</x:v>
      </x:c>
      <x:c r="C6" s="23" t="str">
        <x:v>All primary/destructive actions, CMP-001 and CMP-002 have keyboard-only paths.</x:v>
      </x:c>
      <x:c r="D6" s="23" t="str">
        <x:v>100% primary/destructive flows and CMP-001/CMP-002 complete with Tab/Shift+Tab, Up/Down, Enter and Esc without pointer input.</x:v>
      </x:c>
      <x:c r="E6" s="23" t="str">
        <x:v>Automated UIA plus manual keyboard matrix; exact focus-return and disabled-reason assertions for every listed flow.</x:v>
      </x:c>
      <x:c r="F6" s="23" t="str">
        <x:v>MOD-002;MOD-014;MOD-015;MOD-018</x:v>
      </x:c>
      <x:c r="G6" s="23" t="str">
        <x:v>Stage 2.3.1 OpenAPI 1.2.0-stage2.3; Stage 3.5 UX baseline; Stage 4.3 remediation</x:v>
      </x:c>
      <x:c r="H6" s="23" t="str">
        <x:v>Accessibility baseline + component/spec evidence + Gate 5.4 QA</x:v>
      </x:c>
      <x:c r="I6" s="23" t="str">
        <x:v>Mapped</x:v>
      </x:c>
      <x:c r="J6" s="26" t="str">
        <x:v>Visual/QA evidence pending</x:v>
      </x:c>
    </x:row>
    <x:row r="7">
      <x:c r="A7" s="73" t="str">
        <x:v>NFR-003</x:v>
      </x:c>
      <x:c r="B7" s="23" t="str">
        <x:v>Accessibility</x:v>
      </x:c>
      <x:c r="C7" s="23" t="str">
        <x:v>Focus is visible/deterministic; urgency levels/bounds and employee group/status/redaction have accessible names and states.</x:v>
      </x:c>
      <x:c r="D7" s="23" t="str">
        <x:v>0 missing accessible name/role/state, active-descendant, group announcement or deterministic focus-return assertion in CMP-001/CMP-002 critical paths.</x:v>
      </x:c>
      <x:c r="E7" s="23" t="str">
        <x:v>UIA tree snapshot + Narrator/NVDA script for loading, result-group, redaction, validation, conflict, unavailable and close/Esc states.</x:v>
      </x:c>
      <x:c r="F7" s="23" t="str">
        <x:v>MOD-002;MOD-014;MOD-015;MOD-018</x:v>
      </x:c>
      <x:c r="G7" s="23" t="str">
        <x:v>Stage 2.3.1 OpenAPI 1.2.0-stage2.3; Stage 3.5 UX baseline; Stage 4.3 remediation</x:v>
      </x:c>
      <x:c r="H7" s="23" t="str">
        <x:v>Accessibility baseline + component/spec evidence + Gate 5.4 QA</x:v>
      </x:c>
      <x:c r="I7" s="23" t="str">
        <x:v>Mapped</x:v>
      </x:c>
      <x:c r="J7" s="26" t="str">
        <x:v>Visual/QA evidence pending</x:v>
      </x:c>
    </x:row>
    <x:row r="8">
      <x:c r="A8" s="73" t="str">
        <x:v>NFR-004</x:v>
      </x:c>
      <x:c r="B8" s="23" t="str">
        <x:v>High DPI</x:v>
      </x:c>
      <x:c r="C8" s="23" t="str">
        <x:v>Layouts remain usable at 100–200% Windows scaling and multiple monitors.</x:v>
      </x:c>
      <x:c r="D8" s="23" t="str">
        <x:v>At 100%, 150% and 200% scaling and below 1100 logical px, no critical control is clipped; reading/tab order remains logical and horizontal scroll is not required for the primary action.</x:v>
      </x:c>
      <x:c r="E8" s="23" t="str">
        <x:v>Window-size × scaling × high-contrast visual/keyboard matrix on approved Windows images.</x:v>
      </x:c>
      <x:c r="F8" s="23" t="str">
        <x:v>ALL</x:v>
      </x:c>
      <x:c r="G8" s="23" t="str">
        <x:v>Architecture/Stage 3</x:v>
      </x:c>
      <x:c r="H8" s="23" t="str">
        <x:v>Accessibility baseline + component/spec evidence + Gate 5.4 QA</x:v>
      </x:c>
      <x:c r="I8" s="23" t="str">
        <x:v>Mapped</x:v>
      </x:c>
      <x:c r="J8" s="26" t="str">
        <x:v>Visual/QA evidence pending</x:v>
      </x:c>
    </x:row>
    <x:row r="9">
      <x:c r="A9" s="73" t="str">
        <x:v>NFR-005</x:v>
      </x:c>
      <x:c r="B9" s="23" t="str">
        <x:v>Color</x:v>
      </x:c>
      <x:c r="C9" s="23" t="str">
        <x:v>Status/urgency/error/redaction is never communicated by color alone; semantic text and icon/shape alternatives are present.</x:v>
      </x:c>
      <x:c r="D9" s="23" t="str">
        <x:v>Text/icon/state alternative for every colored signal</x:v>
      </x:c>
      <x:c r="E9" s="23" t="str">
        <x:v>Accessibility review</x:v>
      </x:c>
      <x:c r="F9" s="23" t="str">
        <x:v>MOD-002;MOD-014;MOD-015;MOD-018</x:v>
      </x:c>
      <x:c r="G9" s="23" t="str">
        <x:v>Stage 2.3.1 OpenAPI 1.2.0-stage2.3; Stage 3.5 UX baseline; Stage 4.3 remediation</x:v>
      </x:c>
      <x:c r="H9" s="23" t="str">
        <x:v>Accessibility baseline + component/spec evidence + Gate 5.4 QA</x:v>
      </x:c>
      <x:c r="I9" s="23" t="str">
        <x:v>Mapped</x:v>
      </x:c>
      <x:c r="J9" s="26" t="str">
        <x:v>Visual/QA evidence pending</x:v>
      </x:c>
    </x:row>
    <x:row r="10">
      <x:c r="A10" s="73" t="str">
        <x:v>NFR-006</x:v>
      </x:c>
      <x:c r="B10" s="23" t="str">
        <x:v>Performance</x:v>
      </x:c>
      <x:c r="C10" s="23" t="str">
        <x:v>Large lists use server pagination and client virtualization.</x:v>
      </x:c>
      <x:c r="D10" s="23" t="str">
        <x:v>0 full-dataset list requests; client retains only contract page payloads plus realized viewport and does not grow with total dataset size during bounded scroll test.</x:v>
      </x:c>
      <x:c r="E10" s="23" t="str">
        <x:v>Production-scale fixture profile: request log, page/cursor assertions, realized-item count and memory trend.</x:v>
      </x:c>
      <x:c r="F10" s="23" t="str">
        <x:v>ALL</x:v>
      </x:c>
      <x:c r="G10" s="23" t="str">
        <x:v>Architecture scale; DEC-034</x:v>
      </x:c>
      <x:c r="H10" s="23" t="str">
        <x:v>NFR-specific design specification + prototype/QA evidence</x:v>
      </x:c>
      <x:c r="I10" s="23" t="str">
        <x:v>Mapped</x:v>
      </x:c>
      <x:c r="J10" s="26" t="str">
        <x:v>Visual/QA evidence pending</x:v>
      </x:c>
    </x:row>
    <x:row r="11">
      <x:c r="A11" s="73" t="str">
        <x:v>NFR-007</x:v>
      </x:c>
      <x:c r="B11" s="23" t="str">
        <x:v>Calendar</x:v>
      </x:c>
      <x:c r="C11" s="23" t="str">
        <x:v>Calendar reads are range-bounded and virtualized.</x:v>
      </x:c>
      <x:c r="D11" s="23" t="str">
        <x:v>100% calendar reads include bounded from/to; 0 unbounded multi-year request; out-of-contract range returns CALENDAR_RANGE_TOO_LARGE with preserved filter state.</x:v>
      </x:c>
      <x:c r="E11" s="23" t="str">
        <x:v>Generated contract/UI tests for minimum/maximum supported ranges, DST boundaries and one over-limit range.</x:v>
      </x:c>
      <x:c r="F11" s="23" t="str">
        <x:v>ALL</x:v>
      </x:c>
      <x:c r="G11" s="23" t="str">
        <x:v>Architecture §3.12</x:v>
      </x:c>
      <x:c r="H11" s="23" t="str">
        <x:v>NFR-specific design specification + prototype/QA evidence</x:v>
      </x:c>
      <x:c r="I11" s="23" t="str">
        <x:v>Mapped</x:v>
      </x:c>
      <x:c r="J11" s="26" t="str">
        <x:v>Visual/QA evidence pending</x:v>
      </x:c>
    </x:row>
    <x:row r="12">
      <x:c r="A12" s="73" t="str">
        <x:v>NFR-008</x:v>
      </x:c>
      <x:c r="B12" s="23" t="str">
        <x:v>Search</x:v>
      </x:c>
      <x:c r="C12" s="23" t="str">
        <x:v>Filtering and cursor pagination execute server-side before result delivery.</x:v>
      </x:c>
      <x:c r="D12" s="23" t="str">
        <x:v>No client post-filter of paged results</x:v>
      </x:c>
      <x:c r="E12" s="23" t="str">
        <x:v>Contract tests with filter-bound cursor</x:v>
      </x:c>
      <x:c r="F12" s="23" t="str">
        <x:v>ALL</x:v>
      </x:c>
      <x:c r="G12" s="23" t="str">
        <x:v>Search Contract; DEC-040</x:v>
      </x:c>
      <x:c r="H12" s="23" t="str">
        <x:v>NFR-specific design specification + prototype/QA evidence</x:v>
      </x:c>
      <x:c r="I12" s="23" t="str">
        <x:v>Mapped</x:v>
      </x:c>
      <x:c r="J12" s="26" t="str">
        <x:v>Visual/QA evidence pending</x:v>
      </x:c>
    </x:row>
    <x:row r="13">
      <x:c r="A13" s="73" t="str">
        <x:v>NFR-009</x:v>
      </x:c>
      <x:c r="B13" s="23" t="str">
        <x:v>Resilience</x:v>
      </x:c>
      <x:c r="C13" s="23" t="str">
        <x:v>Server outage changes application to honest read-only cache mode.</x:v>
      </x:c>
      <x:c r="D13" s="23" t="str">
        <x:v>0 accepted business writes while API unavailable</x:v>
      </x:c>
      <x:c r="E13" s="23" t="str">
        <x:v>Fault injection desktop tests</x:v>
      </x:c>
      <x:c r="F13" s="23" t="str">
        <x:v>ALL</x:v>
      </x:c>
      <x:c r="G13" s="23" t="str">
        <x:v>ADR-015; DEC-006</x:v>
      </x:c>
      <x:c r="H13" s="23" t="str">
        <x:v>NFR-specific design specification + prototype/QA evidence</x:v>
      </x:c>
      <x:c r="I13" s="23" t="str">
        <x:v>Mapped</x:v>
      </x:c>
      <x:c r="J13" s="26" t="str">
        <x:v>Visual/QA evidence pending</x:v>
      </x:c>
    </x:row>
    <x:row r="14">
      <x:c r="A14" s="73" t="str">
        <x:v>NFR-010</x:v>
      </x:c>
      <x:c r="B14" s="23" t="str">
        <x:v>Recovery</x:v>
      </x:c>
      <x:c r="C14" s="23" t="str">
        <x:v>After reconnect client authenticates, applies change feed, and bootstraps when cursor/scope is invalid.</x:v>
      </x:c>
      <x:c r="D14" s="23" t="str">
        <x:v>No stale unauthorized projection after recovery</x:v>
      </x:c>
      <x:c r="E14" s="23" t="str">
        <x:v>Fault injection/integration</x:v>
      </x:c>
      <x:c r="F14" s="23" t="str">
        <x:v>ALL</x:v>
      </x:c>
      <x:c r="G14" s="23" t="str">
        <x:v>ADR-005; DEC-032</x:v>
      </x:c>
      <x:c r="H14" s="23" t="str">
        <x:v>NFR-specific design specification + prototype/QA evidence</x:v>
      </x:c>
      <x:c r="I14" s="23" t="str">
        <x:v>Mapped</x:v>
      </x:c>
      <x:c r="J14" s="26" t="str">
        <x:v>Visual/QA evidence pending</x:v>
      </x:c>
    </x:row>
    <x:row r="15">
      <x:c r="A15" s="73" t="str">
        <x:v>NFR-011</x:v>
      </x:c>
      <x:c r="B15" s="23" t="str">
        <x:v>Concurrency</x:v>
      </x:c>
      <x:c r="C15" s="23" t="str">
        <x:v>All versioned writes, including urgency scale PUT/reset, require If-Match and reject stale/missing version.</x:v>
      </x:c>
      <x:c r="D15" s="23" t="str">
        <x:v>100% versioned writes covered by 412/428/409 tests</x:v>
      </x:c>
      <x:c r="E15" s="23" t="str">
        <x:v>Generated contract test suite</x:v>
      </x:c>
      <x:c r="F15" s="23" t="str">
        <x:v>ALL</x:v>
      </x:c>
      <x:c r="G15" s="23" t="str">
        <x:v>Stage 2.3.1 OpenAPI 1.2.0-stage2.3; Stage 3.5 UX baseline; Stage 4.3 remediation</x:v>
      </x:c>
      <x:c r="H15" s="23" t="str">
        <x:v>NFR-specific design specification + prototype/QA evidence</x:v>
      </x:c>
      <x:c r="I15" s="23" t="str">
        <x:v>Mapped</x:v>
      </x:c>
      <x:c r="J15" s="26" t="str">
        <x:v>Visual/QA evidence pending</x:v>
      </x:c>
    </x:row>
    <x:row r="16">
      <x:c r="A16" s="73" t="str">
        <x:v>NFR-012</x:v>
      </x:c>
      <x:c r="B16" s="23" t="str">
        <x:v>Idempotency</x:v>
      </x:c>
      <x:c r="C16" s="23" t="str">
        <x:v>Idempotent commands do not duplicate side effects for same key/hash.</x:v>
      </x:c>
      <x:c r="D16" s="23" t="str">
        <x:v>Exactly one business result/event for duplicate delivery</x:v>
      </x:c>
      <x:c r="E16" s="23" t="str">
        <x:v>Integration/replay tests</x:v>
      </x:c>
      <x:c r="F16" s="23" t="str">
        <x:v>ALL</x:v>
      </x:c>
      <x:c r="G16" s="23" t="str">
        <x:v>Stage 2.3.1</x:v>
      </x:c>
      <x:c r="H16" s="23" t="str">
        <x:v>NFR-specific design specification + prototype/QA evidence</x:v>
      </x:c>
      <x:c r="I16" s="23" t="str">
        <x:v>Mapped</x:v>
      </x:c>
      <x:c r="J16" s="26" t="str">
        <x:v>Visual/QA evidence pending</x:v>
      </x:c>
    </x:row>
    <x:row r="17">
      <x:c r="A17" s="73" t="str">
        <x:v>NFR-013</x:v>
      </x:c>
      <x:c r="B17" s="23" t="str">
        <x:v>Security</x:v>
      </x:c>
      <x:c r="C17" s="23" t="str">
        <x:v>Server evaluates authentication, capability, relation, employee visibility/redaction and filters before pagination on every request.</x:v>
      </x:c>
      <x:c r="D17" s="23" t="str">
        <x:v>No authorization decision based solely on UI</x:v>
      </x:c>
      <x:c r="E17" s="23" t="str">
        <x:v>BOLA/permission tests</x:v>
      </x:c>
      <x:c r="F17" s="23" t="str">
        <x:v>ALL</x:v>
      </x:c>
      <x:c r="G17" s="23" t="str">
        <x:v>Stage 2.3.1 OpenAPI 1.2.0-stage2.3; Stage 3.5 UX baseline; Stage 4.3 remediation</x:v>
      </x:c>
      <x:c r="H17" s="23" t="str">
        <x:v>NFR-specific design specification + prototype/QA evidence</x:v>
      </x:c>
      <x:c r="I17" s="23" t="str">
        <x:v>Mapped</x:v>
      </x:c>
      <x:c r="J17" s="26" t="str">
        <x:v>Visual/QA evidence pending</x:v>
      </x:c>
    </x:row>
    <x:row r="18">
      <x:c r="A18" s="73" t="str">
        <x:v>NFR-014</x:v>
      </x:c>
      <x:c r="B18" s="23" t="str">
        <x:v>Security</x:v>
      </x:c>
      <x:c r="C18" s="23" t="str">
        <x:v>Tokens, passwords, secrets, raw query, PII, notification content and sensitive full paths are absent from logs/analytics.</x:v>
      </x:c>
      <x:c r="D18" s="23" t="str">
        <x:v>0 secret findings in log scan</x:v>
      </x:c>
      <x:c r="E18" s="23" t="str">
        <x:v>Automated redaction/security test</x:v>
      </x:c>
      <x:c r="F18" s="23" t="str">
        <x:v>ALL</x:v>
      </x:c>
      <x:c r="G18" s="23" t="str">
        <x:v>Stage 2.3.1 OpenAPI 1.2.0-stage2.3; Stage 3.5 UX baseline; Stage 4.3 remediation</x:v>
      </x:c>
      <x:c r="H18" s="23" t="str">
        <x:v>NFR-specific design specification + prototype/QA evidence</x:v>
      </x:c>
      <x:c r="I18" s="23" t="str">
        <x:v>Mapped</x:v>
      </x:c>
      <x:c r="J18" s="26" t="str">
        <x:v>Visual/QA evidence pending</x:v>
      </x:c>
    </x:row>
    <x:row r="19">
      <x:c r="A19" s="73" t="str">
        <x:v>NFR-015</x:v>
      </x:c>
      <x:c r="B19" s="23" t="str">
        <x:v>Transport</x:v>
      </x:c>
      <x:c r="C19" s="23" t="str">
        <x:v>Client-server traffic uses approved TLS inside local network.</x:v>
      </x:c>
      <x:c r="D19" s="23" t="str">
        <x:v>0 plaintext HTTP API endpoints; untrusted/expired/mismatched certificate is rejected and no credentials or command payload is sent.</x:v>
      </x:c>
      <x:c r="E19" s="23" t="str">
        <x:v>Deployment endpoint scan and negative TLS handshake/certificate matrix inside the approved LAN configuration.</x:v>
      </x:c>
      <x:c r="F19" s="23" t="str">
        <x:v>ALL</x:v>
      </x:c>
      <x:c r="G19" s="23" t="str">
        <x:v>Architecture</x:v>
      </x:c>
      <x:c r="H19" s="23" t="str">
        <x:v>NFR-specific design specification + prototype/QA evidence</x:v>
      </x:c>
      <x:c r="I19" s="23" t="str">
        <x:v>Mapped</x:v>
      </x:c>
      <x:c r="J19" s="26" t="str">
        <x:v>Visual/QA evidence pending</x:v>
      </x:c>
    </x:row>
    <x:row r="20">
      <x:c r="A20" s="73" t="str">
        <x:v>NFR-016</x:v>
      </x:c>
      <x:c r="B20" s="23" t="str">
        <x:v>Local data</x:v>
      </x:c>
      <x:c r="C20" s="23" t="str">
        <x:v>User-specific cache is encrypted, disposable and cleared on logout/revoke/scope changes as specified.</x:v>
      </x:c>
      <x:c r="D20" s="23" t="str">
        <x:v>No readable cache after cleanup</x:v>
      </x:c>
      <x:c r="E20" s="23" t="str">
        <x:v>Desktop storage/security test</x:v>
      </x:c>
      <x:c r="F20" s="23" t="str">
        <x:v>ALL</x:v>
      </x:c>
      <x:c r="G20" s="23" t="str">
        <x:v>ADR-015; DEC-032</x:v>
      </x:c>
      <x:c r="H20" s="23" t="str">
        <x:v>NFR-specific design specification + prototype/QA evidence</x:v>
      </x:c>
      <x:c r="I20" s="23" t="str">
        <x:v>Mapped</x:v>
      </x:c>
      <x:c r="J20" s="26" t="str">
        <x:v>Visual/QA evidence pending</x:v>
      </x:c>
    </x:row>
    <x:row r="21">
      <x:c r="A21" s="73" t="str">
        <x:v>NFR-017</x:v>
      </x:c>
      <x:c r="B21" s="23" t="str">
        <x:v>Errors</x:v>
      </x:c>
      <x:c r="C21" s="23" t="str">
        <x:v>Client maps all Stage 2.3.1 stable errors, cursor invalidation and redaction/unavailable states without raw exceptions.</x:v>
      </x:c>
      <x:c r="D21" s="23" t="str">
        <x:v>All stable errors mapped; no raw exception</x:v>
      </x:c>
      <x:c r="E21" s="23" t="str">
        <x:v>Catalog coverage test</x:v>
      </x:c>
      <x:c r="F21" s="23" t="str">
        <x:v>ALL</x:v>
      </x:c>
      <x:c r="G21" s="23" t="str">
        <x:v>Stage 2.3.1 OpenAPI 1.2.0-stage2.3; Stage 3.5 UX baseline; Stage 4.3 remediation</x:v>
      </x:c>
      <x:c r="H21" s="23" t="str">
        <x:v>NFR-specific design specification + prototype/QA evidence</x:v>
      </x:c>
      <x:c r="I21" s="23" t="str">
        <x:v>Mapped</x:v>
      </x:c>
      <x:c r="J21" s="26" t="str">
        <x:v>Visual/QA evidence pending</x:v>
      </x:c>
    </x:row>
    <x:row r="22">
      <x:c r="A22" s="73" t="str">
        <x:v>NFR-018</x:v>
      </x:c>
      <x:c r="B22" s="23" t="str">
        <x:v>File safety</x:v>
      </x:c>
      <x:c r="C22" s="23" t="str">
        <x:v>Application never deletes or moves physical working files as a metadata side effect.</x:v>
      </x:c>
      <x:c r="D22" s="23" t="str">
        <x:v>0 physical mutations in delete/move/purge tests</x:v>
      </x:c>
      <x:c r="E22" s="23" t="str">
        <x:v>Filesystem sandbox tests</x:v>
      </x:c>
      <x:c r="F22" s="23" t="str">
        <x:v>ALL</x:v>
      </x:c>
      <x:c r="G22" s="23" t="str">
        <x:v>DEC-017/018</x:v>
      </x:c>
      <x:c r="H22" s="23" t="str">
        <x:v>NFR-specific design specification + prototype/QA evidence</x:v>
      </x:c>
      <x:c r="I22" s="23" t="str">
        <x:v>Mapped</x:v>
      </x:c>
      <x:c r="J22" s="26" t="str">
        <x:v>Visual/QA evidence pending</x:v>
      </x:c>
    </x:row>
    <x:row r="23">
      <x:c r="A23" s="73" t="str">
        <x:v>NFR-019</x:v>
      </x:c>
      <x:c r="B23" s="23" t="str">
        <x:v>File access</x:v>
      </x:c>
      <x:c r="C23" s="23" t="str">
        <x:v>OS/SMB ACL remains authoritative and failures are categorized.</x:v>
      </x:c>
      <x:c r="D23" s="23" t="str">
        <x:v>No ACL bypass; differentiated error</x:v>
      </x:c>
      <x:c r="E23" s="23" t="str">
        <x:v>Windows/SMB integration tests</x:v>
      </x:c>
      <x:c r="F23" s="23" t="str">
        <x:v>ALL</x:v>
      </x:c>
      <x:c r="G23" s="23" t="str">
        <x:v>Architecture A1-06</x:v>
      </x:c>
      <x:c r="H23" s="23" t="str">
        <x:v>NFR-specific design specification + prototype/QA evidence</x:v>
      </x:c>
      <x:c r="I23" s="23" t="str">
        <x:v>Mapped</x:v>
      </x:c>
      <x:c r="J23" s="26" t="str">
        <x:v>Visual/QA evidence pending</x:v>
      </x:c>
    </x:row>
    <x:row r="24">
      <x:c r="A24" s="73" t="str">
        <x:v>NFR-020</x:v>
      </x:c>
      <x:c r="B24" s="23" t="str">
        <x:v>Compatibility</x:v>
      </x:c>
      <x:c r="C24" s="23" t="str">
        <x:v>Unsupported clients are blocked for writes; Stage 2.3.1 notification clients retain built-in urgency presentation mapping.</x:v>
      </x:c>
      <x:c r="D24" s="23" t="str">
        <x:v>No writable shell below min version</x:v>
      </x:c>
      <x:c r="E24" s="23" t="str">
        <x:v>Version compatibility tests</x:v>
      </x:c>
      <x:c r="F24" s="23" t="str">
        <x:v>ALL</x:v>
      </x:c>
      <x:c r="G24" s="23" t="str">
        <x:v>Stage 2.3.1 OpenAPI 1.2.0-stage2.3; Stage 3.5 UX baseline; Stage 4.3 remediation</x:v>
      </x:c>
      <x:c r="H24" s="23" t="str">
        <x:v>NFR-specific design specification + prototype/QA evidence</x:v>
      </x:c>
      <x:c r="I24" s="23" t="str">
        <x:v>Mapped</x:v>
      </x:c>
      <x:c r="J24" s="26" t="str">
        <x:v>Visual/QA evidence pending</x:v>
      </x:c>
    </x:row>
    <x:row r="25">
      <x:c r="A25" s="73" t="str">
        <x:v>NFR-021</x:v>
      </x:c>
      <x:c r="B25" s="23" t="str">
        <x:v>Audit</x:v>
      </x:c>
      <x:c r="C25" s="23" t="str">
        <x:v>Audit/history is append-only and authorization/redaction aware.</x:v>
      </x:c>
      <x:c r="D25" s="23" t="str">
        <x:v>No update/delete path for audit; current-right filtering</x:v>
      </x:c>
      <x:c r="E25" s="23" t="str">
        <x:v>DB/API/security tests</x:v>
      </x:c>
      <x:c r="F25" s="23" t="str">
        <x:v>ALL</x:v>
      </x:c>
      <x:c r="G25" s="23" t="str">
        <x:v>Architecture; ADR-009</x:v>
      </x:c>
      <x:c r="H25" s="23" t="str">
        <x:v>NFR-specific design specification + prototype/QA evidence</x:v>
      </x:c>
      <x:c r="I25" s="23" t="str">
        <x:v>Mapped</x:v>
      </x:c>
      <x:c r="J25" s="26" t="str">
        <x:v>Visual/QA evidence pending</x:v>
      </x:c>
    </x:row>
    <x:row r="26">
      <x:c r="A26" s="73" t="str">
        <x:v>NFR-022</x:v>
      </x:c>
      <x:c r="B26" s="23" t="str">
        <x:v>Backup UX</x:v>
      </x:c>
      <x:c r="C26" s="23" t="str">
        <x:v>Admin UI shows backup result, last success and verification status; backup bytes are not exposed.</x:v>
      </x:c>
      <x:c r="D26" s="23" t="str">
        <x:v>No success claim without completed result/verification metadata</x:v>
      </x:c>
      <x:c r="E26" s="23" t="str">
        <x:v>Admin integration test</x:v>
      </x:c>
      <x:c r="F26" s="23" t="str">
        <x:v>ALL</x:v>
      </x:c>
      <x:c r="G26" s="23" t="str">
        <x:v>Architecture backup agent</x:v>
      </x:c>
      <x:c r="H26" s="23" t="str">
        <x:v>NFR-specific design specification + prototype/QA evidence</x:v>
      </x:c>
      <x:c r="I26" s="23" t="str">
        <x:v>Mapped</x:v>
      </x:c>
      <x:c r="J26" s="26" t="str">
        <x:v>Visual/QA evidence pending</x:v>
      </x:c>
    </x:row>
    <x:row r="27">
      <x:c r="A27" s="73" t="str">
        <x:v>NFR-023</x:v>
      </x:c>
      <x:c r="B27" s="23" t="str">
        <x:v>Scale</x:v>
      </x:c>
      <x:c r="C27" s="23" t="str">
        <x:v>Candidate is designed for up to 300 active employees, 100 concurrent connections and approximately 2M tasks/events.</x:v>
      </x:c>
      <x:c r="D27" s="23" t="str">
        <x:v>Architecture target; validate with load fixtures</x:v>
      </x:c>
      <x:c r="E27" s="23" t="str">
        <x:v>Load test report</x:v>
      </x:c>
      <x:c r="F27" s="23" t="str">
        <x:v>ALL</x:v>
      </x:c>
      <x:c r="G27" s="23" t="str">
        <x:v>Architecture §0.5 assumption</x:v>
      </x:c>
      <x:c r="H27" s="23" t="str">
        <x:v>NFR-specific design specification + prototype/QA evidence</x:v>
      </x:c>
      <x:c r="I27" s="23" t="str">
        <x:v>Mapped</x:v>
      </x:c>
      <x:c r="J27" s="26" t="str">
        <x:v>Visual/QA evidence pending</x:v>
      </x:c>
    </x:row>
    <x:row r="28">
      <x:c r="A28" s="73" t="str">
        <x:v>NFR-024</x:v>
      </x:c>
      <x:c r="B28" s="23" t="str">
        <x:v>Availability</x:v>
      </x:c>
      <x:c r="C28" s="23" t="str">
        <x:v>The product candidate does not assert an unapproved numeric availability SLA, RPO or RTO. Deployment must reference a company-approved operational policy before production approval.</x:v>
      </x:c>
      <x:c r="D28" s="23" t="str">
        <x:v>0 unsupported SLA/RPO/RTO value in product requirements; deployment evidence links one approved external policy and its validation plan.</x:v>
      </x:c>
      <x:c r="E28" s="23" t="str">
        <x:v>PRD token scan plus deployment-policy presence/approval/link check; numeric objectives are tested only after company approval.</x:v>
      </x:c>
      <x:c r="F28" s="23" t="str">
        <x:v>ALL</x:v>
      </x:c>
      <x:c r="G28" s="23" t="str">
        <x:v>Stage 1 architecture §0.5 and §18 require company approval; OQ-008 closed as an external deployment-policy gate, not a product value.</x:v>
      </x:c>
      <x:c r="H28" s="23" t="str">
        <x:v>NFR-specific design specification + prototype/QA evidence</x:v>
      </x:c>
      <x:c r="I28" s="23" t="str">
        <x:v>Mapped</x:v>
      </x:c>
      <x:c r="J28" s="26" t="str">
        <x:v>Visual/QA evidence pending</x:v>
      </x:c>
    </x:row>
    <x:row r="29">
      <x:c r="A29" s="74" t="str">
        <x:v>NFR-025</x:v>
      </x:c>
      <x:c r="B29" s="30" t="str">
        <x:v>Request limits</x:v>
      </x:c>
      <x:c r="C29" s="30" t="str">
        <x:v>Requests, text and batch sizes respect OpenAPI/Stage 2.3.1 limits.</x:v>
      </x:c>
      <x:c r="D29" s="30" t="str">
        <x:v>0 client request beyond contract limit</x:v>
      </x:c>
      <x:c r="E29" s="30" t="str">
        <x:v>Generated boundary tests</x:v>
      </x:c>
      <x:c r="F29" s="30" t="str">
        <x:v>ALL</x:v>
      </x:c>
      <x:c r="G29" s="30" t="str">
        <x:v>Stage 2.3.1 OpenAPI 1.2.0-stage2.3; Stage 3.5 UX baseline; Stage 4.3 remediation</x:v>
      </x:c>
      <x:c r="H29" s="30" t="str">
        <x:v>NFR-specific design specification + prototype/QA evidence</x:v>
      </x:c>
      <x:c r="I29" s="30" t="str">
        <x:v>Mapped</x:v>
      </x:c>
      <x:c r="J29" s="33" t="str">
        <x:v>Visual/QA evidence pending</x:v>
      </x:c>
    </x:row>
  </x:sheetData>
  <x:mergeCells>
    <x:mergeCell ref="A1:J2"/>
    <x:mergeCell ref="A3:J3"/>
  </x:mergeCells>
  <x:conditionalFormatting sqref="I5:I29">
    <x:cfRule type="containsText" dxfId="19" priority="1" operator="containsText" text="Mapped"/>
  </x:conditionalFormatting>
  <x:conditionalFormatting sqref="J5:J29">
    <x:cfRule type="containsText" dxfId="20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1b97bf9a3f3440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2" hidden="0" customWidth="1"/>
    <x:col min="5" max="5" width="9" hidden="0" customWidth="1"/>
    <x:col min="6" max="6" width="12" hidden="0" customWidth="1"/>
    <x:col min="7" max="7" width="42" hidden="0" customWidth="1"/>
    <x:col min="8" max="8" width="11" hidden="0" customWidth="1"/>
    <x:col min="9" max="9" width="34" hidden="0" customWidth="1"/>
    <x:col min="10" max="10" width="30" hidden="0" customWidth="1"/>
    <x:col min="11" max="11" width="24" hidden="0" customWidth="1"/>
    <x:col min="12" max="12" width="42" hidden="0" customWidth="1"/>
    <x:col min="13" max="13" width="42" hidden="0" customWidth="1"/>
    <x:col min="14" max="14" width="20" hidden="0" customWidth="1"/>
    <x:col min="15" max="15" width="42" hidden="0" customWidth="1"/>
    <x:col min="16" max="16" width="42" hidden="0" customWidth="1"/>
    <x:col min="17" max="17" width="12" hidden="0" customWidth="1"/>
    <x:col min="18" max="18" width="24" hidden="0" customWidth="1"/>
  </x:cols>
  <x:sheetData>
    <x:row r="1">
      <x:c r="A1" s="3" t="str">
        <x:v>Stage 5.2 — Component Usage 1.0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6" t="str">
        <x:v>Frozen: 45/45 component families, 128/128 SCR и 37/37 FLOW. Каждая строка содержит behavior/failure contract, evidence и remaining verification.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4">
      <x:c r="A4" s="17" t="str">
        <x:v>Component ID</x:v>
      </x:c>
      <x:c r="B4" s="18" t="str">
        <x:v>Component</x:v>
      </x:c>
      <x:c r="C4" s="18" t="str">
        <x:v>Library path</x:v>
      </x:c>
      <x:c r="D4" s="18" t="str">
        <x:v>Library tier</x:v>
      </x:c>
      <x:c r="E4" s="18" t="str">
        <x:v>Priority</x:v>
      </x:c>
      <x:c r="F4" s="18" t="str">
        <x:v>Surface count</x:v>
      </x:c>
      <x:c r="G4" s="18" t="str">
        <x:v>SCR IDs</x:v>
      </x:c>
      <x:c r="H4" s="18" t="str">
        <x:v>FLOW count</x:v>
      </x:c>
      <x:c r="I4" s="18" t="str">
        <x:v>Required variants</x:v>
      </x:c>
      <x:c r="J4" s="18" t="str">
        <x:v>Related canonical STATE</x:v>
      </x:c>
      <x:c r="K4" s="18" t="str">
        <x:v>Related NFR</x:v>
      </x:c>
      <x:c r="L4" s="18" t="str">
        <x:v>Behavior contract</x:v>
      </x:c>
      <x:c r="M4" s="18" t="str">
        <x:v>Failure rule</x:v>
      </x:c>
      <x:c r="N4" s="18" t="str">
        <x:v>Implementation readiness</x:v>
      </x:c>
      <x:c r="O4" s="18" t="str">
        <x:v>Evidence</x:v>
      </x:c>
      <x:c r="P4" s="18" t="str">
        <x:v>Remaining verification</x:v>
      </x:c>
      <x:c r="Q4" s="18" t="str">
        <x:v>Spec version</x:v>
      </x:c>
      <x:c r="R4" s="19" t="str">
        <x:v>Freeze status</x:v>
      </x:c>
    </x:row>
    <x:row r="5">
      <x:c r="A5" s="73" t="str">
        <x:v>CMP-001</x:v>
      </x:c>
      <x:c r="B5" s="23" t="str">
        <x:v>SurfaceTitle</x:v>
      </x:c>
      <x:c r="C5" s="23" t="str">
        <x:v>Task/Core/SurfaceTitle</x:v>
      </x:c>
      <x:c r="D5" s="23" t="str">
        <x:v>03 Core Components</x:v>
      </x:c>
      <x:c r="E5" s="23" t="str">
        <x:v>P0</x:v>
      </x:c>
      <x:c r="F5" s="23" t="n">
        <x:v>128</x:v>
      </x:c>
      <x:c r="G5" s="23" t="str">
        <x:v>SCR-001; SCR-002; SCR-003; SCR-004; SCR-005; SCR-006; SCR-007; SCR-008; SCR-010; SCR-011; SCR-012; SCR-013; SCR-014; SCR-020; SCR-021; SCR-022; SCR-023; SCR-024; SCR-025; SCR-026; SCR-027; SCR-028; SCR-029; SCR-030; SCR-031; SCR-032; SCR-033; SCR-034; SCR-035; SCR-036; SCR-040; SCR-041; SCR-042; SCR-043; SCR-044; SCR-045; SCR-046; SCR-047; SCR-060; SCR-061; SCR-062; SCR-063; SCR-064; SCR-065; SCR-066; SCR-067; SCR-068; SCR-069; SCR-070; SCR-071; SCR-072; SCR-080; SCR-081; SCR-082; SCR-083; SCR-084; SCR-085; SCR-086; SCR-087; SCR-088; SCR-089; SCR-090; SCR-110; SCR-111; SCR-112; SCR-113; SCR-114; SCR-115; SCR-116; SCR-117; SCR-118; SCR-119; SCR-130; SCR-131; SCR-132; SCR-133; SCR-134; SCR-135; SCR-136; SCR-140; SCR-141; SCR-142; SCR-143; SCR-150; SCR-151; SCR-152; SCR-153; SCR-154; SCR-155; SCR-156; SCR-157; SCR-158; SCR-159; SCR-160; SCR-161; SCR-170; SCR-171; SCR-172; SCR-173; SCR-174; SCR-175; SCR-176; SCR-177; SCR-178; SCR-179; SCR-180; SCR-181; SCR-182; SCR-183; SCR-184; SCR-185; SCR-186; SCR-187; SCR-188; SCR-200; SCR-201; SCR-202; SCR-203; SCR-204; SCR-205; SCR-206; SCR-207; SCR-208; SCR-209; SCR-210; SCR-211; SCR-212; SCR-213</x:v>
      </x:c>
      <x:c r="H5" s="23" t="n">
        <x:v>37</x:v>
      </x:c>
      <x:c r="I5" s="23" t="str">
        <x:v>page | panel | dialog</x:v>
      </x:c>
      <x:c r="J5" s="23" t="str"/>
      <x:c r="K5" s="23" t="str">
        <x:v>NFR-002; NFR-003; NFR-004; NFR-005</x:v>
      </x:c>
      <x:c r="L5" s="23" t="str">
        <x:v>Names the current surface and optional context without duplicating the window title.</x:v>
      </x:c>
      <x:c r="M5" s="23" t="str">
        <x:v>Preserve accessible name, focus context and user input when the operation cannot complete.</x:v>
      </x:c>
      <x:c r="N5" s="23" t="str">
        <x:v>Prototype-verified</x:v>
      </x:c>
      <x:c r="O5" s="23" t="str">
        <x:v>work/stage_5_prototype/src/App.jsx; work/stage_5_prototype/src/styles.css; work/stage_5_prototype/design-qa-stage5-surfaces.md</x:v>
      </x:c>
      <x:c r="P5" s="23" t="str">
        <x:v>Formal library frame, Windows runtime measurements and remaining module variants</x:v>
      </x:c>
      <x:c r="Q5" s="23" t="str">
        <x:v>0.9</x:v>
      </x:c>
      <x:c r="R5" s="26" t="str">
        <x:v>Frozen for Gate 5.2 candidate</x:v>
      </x:c>
    </x:row>
    <x:row r="6">
      <x:c r="A6" s="73" t="str">
        <x:v>CMP-002</x:v>
      </x:c>
      <x:c r="B6" s="23" t="str">
        <x:v>PermissionState</x:v>
      </x:c>
      <x:c r="C6" s="23" t="str">
        <x:v>Task/State/PermissionState</x:v>
      </x:c>
      <x:c r="D6" s="23" t="str">
        <x:v>04 State Components</x:v>
      </x:c>
      <x:c r="E6" s="23" t="str">
        <x:v>P0</x:v>
      </x:c>
      <x:c r="F6" s="23" t="n">
        <x:v>76</x:v>
      </x:c>
      <x:c r="G6" s="23" t="str">
        <x:v>SCR-005; SCR-008; SCR-010; SCR-011; SCR-012; SCR-013; SCR-014; SCR-020; SCR-021; SCR-022; SCR-023; SCR-024; SCR-028; SCR-029; SCR-030; SCR-034; SCR-035; SCR-036; SCR-041; SCR-045; SCR-060; SCR-061; SCR-062; SCR-063; SCR-064; SCR-065; SCR-066; SCR-067; SCR-068; SCR-069; SCR-071; SCR-080; SCR-083; SCR-086; SCR-088; SCR-089; SCR-110; SCR-111; SCR-113; SCR-115; SCR-116; SCR-117; SCR-118; SCR-119; SCR-130; SCR-131; SCR-132; SCR-133; SCR-140; SCR-141; SCR-142; SCR-143; SCR-150; SCR-151; SCR-153; SCR-155; SCR-159; SCR-170; SCR-171; SCR-172; SCR-174; SCR-176; SCR-177; SCR-178; SCR-179; SCR-180; SCR-181; SCR-186; SCR-200; SCR-201; SCR-202; SCR-203; SCR-204; SCR-207; SCR-212; SCR-213</x:v>
      </x:c>
      <x:c r="H6" s="23" t="n">
        <x:v>29</x:v>
      </x:c>
      <x:c r="I6" s="23" t="str">
        <x:v>available | disabled-with-reason | forbidden-result | unavailable</x:v>
      </x:c>
      <x:c r="J6" s="23" t="str">
        <x:v>Forbidden; ObjectUnavailable; PartialAccess</x:v>
      </x:c>
      <x:c r="K6" s="23" t="str">
        <x:v>NFR-002; NFR-003; NFR-004; NFR-005</x:v>
      </x:c>
      <x:c r="L6" s="23" t="str">
        <x:v>Translates current server capability into available, disabled-with-reason or non-disclosing unavailable presentation.</x:v>
      </x:c>
      <x:c r="M6" s="23" t="str">
        <x:v>Server authorization is authoritative; hidden targets must not be disclosed.</x:v>
      </x:c>
      <x:c r="N6" s="23" t="str">
        <x:v>Prototype-verified</x:v>
      </x:c>
      <x:c r="O6" s="23" t="str">
        <x:v>work/stage_5_prototype/src/App.jsx#TasksSurface/ProjectsSurface/FileLocationView; work/stage_5_prototype/design-qa-stage5-component-gaps.md</x:v>
      </x:c>
      <x:c r="P6" s="23" t="str">
        <x:v>Formal library frame, Windows runtime measurements and remaining module variants</x:v>
      </x:c>
      <x:c r="Q6" s="23" t="str">
        <x:v>0.9</x:v>
      </x:c>
      <x:c r="R6" s="26" t="str">
        <x:v>Frozen for Gate 5.2 candidate</x:v>
      </x:c>
    </x:row>
    <x:row r="7">
      <x:c r="A7" s="73" t="str">
        <x:v>CMP-003</x:v>
      </x:c>
      <x:c r="B7" s="23" t="str">
        <x:v>ConnectivityBanner</x:v>
      </x:c>
      <x:c r="C7" s="23" t="str">
        <x:v>Task/State/ConnectivityBanner</x:v>
      </x:c>
      <x:c r="D7" s="23" t="str">
        <x:v>04 State Components</x:v>
      </x:c>
      <x:c r="E7" s="23" t="str">
        <x:v>P0</x:v>
      </x:c>
      <x:c r="F7" s="23" t="n">
        <x:v>52</x:v>
      </x:c>
      <x:c r="G7" s="23" t="str">
        <x:v>SCR-001; SCR-002; SCR-003; SCR-004; SCR-005; SCR-007; SCR-008; SCR-010; SCR-012; SCR-020; SCR-022; SCR-024; SCR-025; SCR-028; SCR-033; SCR-035; SCR-040; SCR-041; SCR-043; SCR-060; SCR-063; SCR-065; SCR-067; SCR-080; SCR-081; SCR-082; SCR-084; SCR-085; SCR-087; SCR-090; SCR-110; SCR-116; SCR-118; SCR-130; SCR-131; SCR-132; SCR-136; SCR-140; SCR-150; SCR-156; SCR-157; SCR-159; SCR-160; SCR-182; SCR-183; SCR-184; SCR-185; SCR-188; SCR-202; SCR-205; SCR-209; SCR-211</x:v>
      </x:c>
      <x:c r="H7" s="23" t="n">
        <x:v>32</x:v>
      </x:c>
      <x:c r="I7" s="23" t="str">
        <x:v>offline | reconnecting | maintenance | unavailable</x:v>
      </x:c>
      <x:c r="J7" s="23" t="str">
        <x:v>ServerUnavailable; Reconnecting</x:v>
      </x:c>
      <x:c r="K7" s="23" t="str">
        <x:v>NFR-002; NFR-003; NFR-004; NFR-005; NFR-009; NFR-010; NFR-024</x:v>
      </x:c>
      <x:c r="L7" s="23" t="str">
        <x:v>Explains connectivity, cache freshness and the next safe recovery action.</x:v>
      </x:c>
      <x:c r="M7" s="23" t="str">
        <x:v>Retry is bounded and idempotent; writes remain disabled until authoritative readiness.</x:v>
      </x:c>
      <x:c r="N7" s="23" t="str">
        <x:v>Prototype-verified</x:v>
      </x:c>
      <x:c r="O7" s="23" t="str">
        <x:v>work/stage_5_prototype/src/App.jsx; work/stage_5_prototype/src/styles.css; work/stage_5_prototype/design-qa-stage5-surfaces.md</x:v>
      </x:c>
      <x:c r="P7" s="23" t="str">
        <x:v>Formal library frame, Windows runtime measurements and remaining module variants</x:v>
      </x:c>
      <x:c r="Q7" s="23" t="str">
        <x:v>0.9</x:v>
      </x:c>
      <x:c r="R7" s="26" t="str">
        <x:v>Frozen for Gate 5.2 candidate</x:v>
      </x:c>
    </x:row>
    <x:row r="8">
      <x:c r="A8" s="73" t="str">
        <x:v>CMP-004</x:v>
      </x:c>
      <x:c r="B8" s="23" t="str">
        <x:v>FieldLabel</x:v>
      </x:c>
      <x:c r="C8" s="23" t="str">
        <x:v>Task/Core/FieldLabel</x:v>
      </x:c>
      <x:c r="D8" s="23" t="str">
        <x:v>03 Core Components</x:v>
      </x:c>
      <x:c r="E8" s="23" t="str">
        <x:v>P0</x:v>
      </x:c>
      <x:c r="F8" s="23" t="n">
        <x:v>52</x:v>
      </x:c>
      <x:c r="G8" s="23" t="str">
        <x:v>SCR-002; SCR-004; SCR-005; SCR-008; SCR-011; SCR-020; SCR-021; SCR-022; SCR-023; SCR-026; SCR-027; SCR-029; SCR-030; SCR-032; SCR-033; SCR-040; SCR-041; SCR-044; SCR-045; SCR-047; SCR-060; SCR-062; SCR-063; SCR-065; SCR-069; SCR-070; SCR-071; SCR-080; SCR-082; SCR-086; SCR-087; SCR-110; SCR-112; SCR-114; SCR-116; SCR-117; SCR-134; SCR-135; SCR-150; SCR-151; SCR-153; SCR-154; SCR-155; SCR-171; SCR-172; SCR-173; SCR-175; SCR-176; SCR-177; SCR-178; SCR-182; SCR-187</x:v>
      </x:c>
      <x:c r="H8" s="23" t="n">
        <x:v>30</x:v>
      </x:c>
      <x:c r="I8" s="23" t="str">
        <x:v>normal | required | disabled | error</x:v>
      </x:c>
      <x:c r="J8" s="23" t="str"/>
      <x:c r="K8" s="23" t="str">
        <x:v>NFR-002; NFR-003; NFR-004; NFR-005</x:v>
      </x:c>
      <x:c r="L8" s="23" t="str">
        <x:v>Binds visible label, required/optional meaning, hint and validation to one control.</x:v>
      </x:c>
      <x:c r="M8" s="23" t="str">
        <x:v>Preserve accessible name, focus context and user input when the operation cannot complete.</x:v>
      </x:c>
      <x:c r="N8" s="23" t="str">
        <x:v>Prototype-verified</x:v>
      </x:c>
      <x:c r="O8" s="23" t="str">
        <x:v>work/stage_5_prototype/src/App.jsx; work/stage_5_prototype/src/styles.css; work/stage_5_prototype/design-qa-stage5-surfaces.md</x:v>
      </x:c>
      <x:c r="P8" s="23" t="str">
        <x:v>Formal library frame, Windows runtime measurements and remaining module variants</x:v>
      </x:c>
      <x:c r="Q8" s="23" t="str">
        <x:v>0.9</x:v>
      </x:c>
      <x:c r="R8" s="26" t="str">
        <x:v>Frozen for Gate 5.2 candidate</x:v>
      </x:c>
    </x:row>
    <x:row r="9">
      <x:c r="A9" s="73" t="str">
        <x:v>CMP-005</x:v>
      </x:c>
      <x:c r="B9" s="23" t="str">
        <x:v>FormLayout</x:v>
      </x:c>
      <x:c r="C9" s="23" t="str">
        <x:v>Task/Pattern/FormLayout</x:v>
      </x:c>
      <x:c r="D9" s="23" t="str">
        <x:v>06 Patterns</x:v>
      </x:c>
      <x:c r="E9" s="23" t="str">
        <x:v>P0</x:v>
      </x:c>
      <x:c r="F9" s="23" t="n">
        <x:v>52</x:v>
      </x:c>
      <x:c r="G9" s="23" t="str">
        <x:v>SCR-002; SCR-004; SCR-005; SCR-008; SCR-011; SCR-020; SCR-021; SCR-022; SCR-023; SCR-026; SCR-027; SCR-029; SCR-030; SCR-032; SCR-033; SCR-040; SCR-041; SCR-044; SCR-045; SCR-047; SCR-060; SCR-062; SCR-063; SCR-065; SCR-069; SCR-070; SCR-071; SCR-080; SCR-082; SCR-086; SCR-087; SCR-110; SCR-112; SCR-114; SCR-116; SCR-117; SCR-134; SCR-135; SCR-150; SCR-151; SCR-153; SCR-154; SCR-155; SCR-171; SCR-172; SCR-173; SCR-175; SCR-176; SCR-177; SCR-178; SCR-182; SCR-187</x:v>
      </x:c>
      <x:c r="H9" s="23" t="n">
        <x:v>30</x:v>
      </x:c>
      <x:c r="I9" s="23" t="str">
        <x:v>simple | sectioned | dirty | read-only</x:v>
      </x:c>
      <x:c r="J9" s="23" t="str"/>
      <x:c r="K9" s="23" t="str">
        <x:v>NFR-002; NFR-003; NFR-004; NFR-005</x:v>
      </x:c>
      <x:c r="L9" s="23" t="str">
        <x:v>Orders fields, section boundaries, dirty state and explicit save/cancel actions.</x:v>
      </x:c>
      <x:c r="M9" s="23" t="str">
        <x:v>Preserve accessible name, focus context and user input when the operation cannot complete.</x:v>
      </x:c>
      <x:c r="N9" s="23" t="str">
        <x:v>Prototype-verified</x:v>
      </x:c>
      <x:c r="O9" s="23" t="str">
        <x:v>work/stage_5_prototype/src/App.jsx; work/stage_5_prototype/src/styles.css; work/stage_5_prototype/design-qa-stage5-surfaces.md</x:v>
      </x:c>
      <x:c r="P9" s="23" t="str">
        <x:v>Formal library frame, Windows runtime measurements and remaining module variants</x:v>
      </x:c>
      <x:c r="Q9" s="23" t="str">
        <x:v>0.9</x:v>
      </x:c>
      <x:c r="R9" s="26" t="str">
        <x:v>Frozen for Gate 5.2 candidate</x:v>
      </x:c>
    </x:row>
    <x:row r="10">
      <x:c r="A10" s="73" t="str">
        <x:v>CMP-006</x:v>
      </x:c>
      <x:c r="B10" s="23" t="str">
        <x:v>ReadOnlyBanner</x:v>
      </x:c>
      <x:c r="C10" s="23" t="str">
        <x:v>Task/State/ReadOnlyBanner</x:v>
      </x:c>
      <x:c r="D10" s="23" t="str">
        <x:v>04 State Components</x:v>
      </x:c>
      <x:c r="E10" s="23" t="str">
        <x:v>P0</x:v>
      </x:c>
      <x:c r="F10" s="23" t="n">
        <x:v>52</x:v>
      </x:c>
      <x:c r="G10" s="23" t="str">
        <x:v>SCR-001; SCR-002; SCR-003; SCR-004; SCR-005; SCR-007; SCR-008; SCR-010; SCR-012; SCR-020; SCR-022; SCR-024; SCR-025; SCR-028; SCR-033; SCR-035; SCR-040; SCR-041; SCR-043; SCR-060; SCR-063; SCR-065; SCR-067; SCR-080; SCR-081; SCR-082; SCR-084; SCR-085; SCR-087; SCR-090; SCR-110; SCR-116; SCR-118; SCR-130; SCR-131; SCR-132; SCR-136; SCR-140; SCR-150; SCR-156; SCR-157; SCR-159; SCR-160; SCR-182; SCR-183; SCR-184; SCR-185; SCR-188; SCR-202; SCR-205; SCR-209; SCR-211</x:v>
      </x:c>
      <x:c r="H10" s="23" t="n">
        <x:v>32</x:v>
      </x:c>
      <x:c r="I10" s="23" t="str">
        <x:v>offline | archived | trashed | permission</x:v>
      </x:c>
      <x:c r="J10" s="23" t="str">
        <x:v>ServerUnavailable (cached read-only presentation); Archived; Trashed</x:v>
      </x:c>
      <x:c r="K10" s="23" t="str">
        <x:v>NFR-002; NFR-003; NFR-004; NFR-005; NFR-009; NFR-010</x:v>
      </x:c>
      <x:c r="L10" s="23" t="str">
        <x:v>Explains why content is read-only, its freshness and which actions remain safe.</x:v>
      </x:c>
      <x:c r="M10" s="23" t="str">
        <x:v>Never rely on color alone; state text and a safe recovery consequence are required.</x:v>
      </x:c>
      <x:c r="N10" s="23" t="str">
        <x:v>Prototype-verified</x:v>
      </x:c>
      <x:c r="O10" s="23" t="str">
        <x:v>work/stage_5_prototype/src/App.jsx; work/stage_5_prototype/src/styles.css; work/stage_5_prototype/design-qa-stage5-surfaces.md</x:v>
      </x:c>
      <x:c r="P10" s="23" t="str">
        <x:v>Formal library frame, Windows runtime measurements and remaining module variants</x:v>
      </x:c>
      <x:c r="Q10" s="23" t="str">
        <x:v>0.9</x:v>
      </x:c>
      <x:c r="R10" s="26" t="str">
        <x:v>Frozen for Gate 5.2 candidate</x:v>
      </x:c>
    </x:row>
    <x:row r="11">
      <x:c r="A11" s="73" t="str">
        <x:v>CMP-007</x:v>
      </x:c>
      <x:c r="B11" s="23" t="str">
        <x:v>RetryAction</x:v>
      </x:c>
      <x:c r="C11" s="23" t="str">
        <x:v>Task/State/RetryAction</x:v>
      </x:c>
      <x:c r="D11" s="23" t="str">
        <x:v>04 State Components</x:v>
      </x:c>
      <x:c r="E11" s="23" t="str">
        <x:v>P0</x:v>
      </x:c>
      <x:c r="F11" s="23" t="n">
        <x:v>52</x:v>
      </x:c>
      <x:c r="G11" s="23" t="str">
        <x:v>SCR-001; SCR-002; SCR-003; SCR-004; SCR-005; SCR-007; SCR-008; SCR-010; SCR-012; SCR-020; SCR-022; SCR-024; SCR-025; SCR-028; SCR-033; SCR-035; SCR-040; SCR-041; SCR-043; SCR-060; SCR-063; SCR-065; SCR-067; SCR-080; SCR-081; SCR-082; SCR-084; SCR-085; SCR-087; SCR-090; SCR-110; SCR-116; SCR-118; SCR-130; SCR-131; SCR-132; SCR-136; SCR-140; SCR-150; SCR-156; SCR-157; SCR-159; SCR-160; SCR-182; SCR-183; SCR-184; SCR-185; SCR-188; SCR-202; SCR-205; SCR-209; SCR-211</x:v>
      </x:c>
      <x:c r="H11" s="23" t="n">
        <x:v>32</x:v>
      </x:c>
      <x:c r="I11" s="23" t="str">
        <x:v>safe-read retry | diagnostics</x:v>
      </x:c>
      <x:c r="J11" s="23" t="str"/>
      <x:c r="K11" s="23" t="str">
        <x:v>NFR-002; NFR-003; NFR-004; NFR-005; NFR-012; NFR-017</x:v>
      </x:c>
      <x:c r="L11" s="23" t="str">
        <x:v>Starts only an idempotent recovery check and never implies success before authoritative readiness.</x:v>
      </x:c>
      <x:c r="M11" s="23" t="str">
        <x:v>Retry is bounded and idempotent; writes remain disabled until authoritative readiness.</x:v>
      </x:c>
      <x:c r="N11" s="23" t="str">
        <x:v>Prototype-verified</x:v>
      </x:c>
      <x:c r="O11" s="23" t="str">
        <x:v>work/stage_5_prototype/src/App.jsx; work/stage_5_prototype/src/styles.css; work/stage_5_prototype/design-qa-stage5-surfaces.md</x:v>
      </x:c>
      <x:c r="P11" s="23" t="str">
        <x:v>Formal library frame, Windows runtime measurements and remaining module variants</x:v>
      </x:c>
      <x:c r="Q11" s="23" t="str">
        <x:v>0.9</x:v>
      </x:c>
      <x:c r="R11" s="26" t="str">
        <x:v>Frozen for Gate 5.2 candidate</x:v>
      </x:c>
    </x:row>
    <x:row r="12">
      <x:c r="A12" s="73" t="str">
        <x:v>CMP-008</x:v>
      </x:c>
      <x:c r="B12" s="23" t="str">
        <x:v>ValidationMessage</x:v>
      </x:c>
      <x:c r="C12" s="23" t="str">
        <x:v>Task/State/ValidationMessage</x:v>
      </x:c>
      <x:c r="D12" s="23" t="str">
        <x:v>04 State Components</x:v>
      </x:c>
      <x:c r="E12" s="23" t="str">
        <x:v>P0</x:v>
      </x:c>
      <x:c r="F12" s="23" t="n">
        <x:v>52</x:v>
      </x:c>
      <x:c r="G12" s="23" t="str">
        <x:v>SCR-002; SCR-004; SCR-005; SCR-008; SCR-011; SCR-020; SCR-021; SCR-022; SCR-023; SCR-026; SCR-027; SCR-029; SCR-030; SCR-032; SCR-033; SCR-040; SCR-041; SCR-044; SCR-045; SCR-047; SCR-060; SCR-062; SCR-063; SCR-065; SCR-069; SCR-070; SCR-071; SCR-080; SCR-082; SCR-086; SCR-087; SCR-110; SCR-112; SCR-114; SCR-116; SCR-117; SCR-134; SCR-135; SCR-150; SCR-151; SCR-153; SCR-154; SCR-155; SCR-171; SCR-172; SCR-173; SCR-175; SCR-176; SCR-177; SCR-178; SCR-182; SCR-187</x:v>
      </x:c>
      <x:c r="H12" s="23" t="n">
        <x:v>30</x:v>
      </x:c>
      <x:c r="I12" s="23" t="str">
        <x:v>inline | summary-linked</x:v>
      </x:c>
      <x:c r="J12" s="23" t="str"/>
      <x:c r="K12" s="23" t="str">
        <x:v>NFR-002; NFR-003; NFR-004; NFR-005</x:v>
      </x:c>
      <x:c r="L12" s="23" t="str">
        <x:v>Associates a concise error with its field and optionally links from a summary.</x:v>
      </x:c>
      <x:c r="M12" s="23" t="str">
        <x:v>Never rely on color alone; state text and a safe recovery consequence are required.</x:v>
      </x:c>
      <x:c r="N12" s="23" t="str">
        <x:v>Prototype-verified</x:v>
      </x:c>
      <x:c r="O12" s="23" t="str">
        <x:v>work/stage_5_prototype/src/App.jsx; work/stage_5_prototype/src/styles.css; work/stage_5_prototype/design-qa-stage5-surfaces.md</x:v>
      </x:c>
      <x:c r="P12" s="23" t="str">
        <x:v>Formal library frame, Windows runtime measurements and remaining module variants</x:v>
      </x:c>
      <x:c r="Q12" s="23" t="str">
        <x:v>0.9</x:v>
      </x:c>
      <x:c r="R12" s="26" t="str">
        <x:v>Frozen for Gate 5.2 candidate</x:v>
      </x:c>
    </x:row>
    <x:row r="13">
      <x:c r="A13" s="73" t="str">
        <x:v>CMP-009</x:v>
      </x:c>
      <x:c r="B13" s="23" t="str">
        <x:v>PageLayout</x:v>
      </x:c>
      <x:c r="C13" s="23" t="str">
        <x:v>Task/Pattern/PageLayout</x:v>
      </x:c>
      <x:c r="D13" s="23" t="str">
        <x:v>06 Patterns</x:v>
      </x:c>
      <x:c r="E13" s="23" t="str">
        <x:v>P0</x:v>
      </x:c>
      <x:c r="F13" s="23" t="n">
        <x:v>47</x:v>
      </x:c>
      <x:c r="G13" s="23" t="str">
        <x:v>SCR-001; SCR-002; SCR-003; SCR-006; SCR-007; SCR-010; SCR-012; SCR-020; SCR-023; SCR-024; SCR-032; SCR-040; SCR-044; SCR-060; SCR-061; SCR-064; SCR-069; SCR-070; SCR-080; SCR-081; SCR-110; SCR-111; SCR-112; SCR-113; SCR-114; SCR-130; SCR-133; SCR-134; SCR-140; SCR-141; SCR-171; SCR-172; SCR-173; SCR-175; SCR-176; SCR-177; SCR-178; SCR-180; SCR-181; SCR-182; SCR-183; SCR-184; SCR-185; SCR-186; SCR-187; SCR-188; SCR-201</x:v>
      </x:c>
      <x:c r="H13" s="23" t="n">
        <x:v>35</x:v>
      </x:c>
      <x:c r="I13" s="23" t="str">
        <x:v>list | list-detail | editor | settings</x:v>
      </x:c>
      <x:c r="J13" s="23" t="str"/>
      <x:c r="K13" s="23" t="str">
        <x:v>NFR-002; NFR-003; NFR-004; NFR-005</x:v>
      </x:c>
      <x:c r="L13" s="23" t="str">
        <x:v>Composes title, commands, content, state messaging and optional inspector within the desktop shell.</x:v>
      </x:c>
      <x:c r="M13" s="23" t="str">
        <x:v>Preserve accessible name, focus context and user input when the operation cannot complete.</x:v>
      </x:c>
      <x:c r="N13" s="23" t="str">
        <x:v>Prototype-verified</x:v>
      </x:c>
      <x:c r="O13" s="23" t="str">
        <x:v>work/stage_5_prototype/src/App.jsx; work/stage_5_prototype/src/styles.css; work/stage_5_prototype/design-qa-stage5-surfaces.md</x:v>
      </x:c>
      <x:c r="P13" s="23" t="str">
        <x:v>Formal library frame, Windows runtime measurements and remaining module variants</x:v>
      </x:c>
      <x:c r="Q13" s="23" t="str">
        <x:v>0.9</x:v>
      </x:c>
      <x:c r="R13" s="26" t="str">
        <x:v>Frozen for Gate 5.2 candidate</x:v>
      </x:c>
    </x:row>
    <x:row r="14">
      <x:c r="A14" s="73" t="str">
        <x:v>CMP-010</x:v>
      </x:c>
      <x:c r="B14" s="23" t="str">
        <x:v>ConflictNotice</x:v>
      </x:c>
      <x:c r="C14" s="23" t="str">
        <x:v>Task/State/ConflictNotice</x:v>
      </x:c>
      <x:c r="D14" s="23" t="str">
        <x:v>04 State Components</x:v>
      </x:c>
      <x:c r="E14" s="23" t="str">
        <x:v>P0</x:v>
      </x:c>
      <x:c r="F14" s="23" t="n">
        <x:v>45</x:v>
      </x:c>
      <x:c r="G14" s="23" t="str">
        <x:v>SCR-010; SCR-012; SCR-013; SCR-023; SCR-024; SCR-025; SCR-026; SCR-027; SCR-029; SCR-030; SCR-031; SCR-032; SCR-033; SCR-035; SCR-041; SCR-044; SCR-046; SCR-047; SCR-064; SCR-069; SCR-070; SCR-071; SCR-072; SCR-083; SCR-086; SCR-112; SCR-114; SCR-117; SCR-131; SCR-132; SCR-141; SCR-143; SCR-150; SCR-171; SCR-172; SCR-174; SCR-175; SCR-176; SCR-177; SCR-178; SCR-182; SCR-184; SCR-187; SCR-188; SCR-208</x:v>
      </x:c>
      <x:c r="H14" s="23" t="n">
        <x:v>28</x:v>
      </x:c>
      <x:c r="I14" s="23" t="str">
        <x:v>stale | precondition | compare | reapply</x:v>
      </x:c>
      <x:c r="J14" s="23" t="str"/>
      <x:c r="K14" s="23" t="str">
        <x:v>NFR-002; NFR-003; NFR-004; NFR-005; NFR-011; NFR-012; NFR-017</x:v>
      </x:c>
      <x:c r="L14" s="23" t="str">
        <x:v>Preserves the local draft and offers explicit compare, reload, reapply or discard paths.</x:v>
      </x:c>
      <x:c r="M14" s="23" t="str">
        <x:v>Preserve the local/current value; never overwrite or report success after conflict.</x:v>
      </x:c>
      <x:c r="N14" s="23" t="str">
        <x:v>Prototype-verified</x:v>
      </x:c>
      <x:c r="O14" s="23" t="str">
        <x:v>work/stage_5_prototype/src/App.jsx; work/stage_5_prototype/src/styles.css; work/stage_5_prototype/design-qa-stage5-surfaces.md</x:v>
      </x:c>
      <x:c r="P14" s="23" t="str">
        <x:v>Formal library frame, Windows runtime measurements and remaining module variants</x:v>
      </x:c>
      <x:c r="Q14" s="23" t="str">
        <x:v>0.9</x:v>
      </x:c>
      <x:c r="R14" s="26" t="str">
        <x:v>Frozen for Gate 5.2 candidate</x:v>
      </x:c>
    </x:row>
    <x:row r="15">
      <x:c r="A15" s="73" t="str">
        <x:v>CMP-011</x:v>
      </x:c>
      <x:c r="B15" s="23" t="str">
        <x:v>DialogShell</x:v>
      </x:c>
      <x:c r="C15" s="23" t="str">
        <x:v>Task/Core/DialogShell</x:v>
      </x:c>
      <x:c r="D15" s="23" t="str">
        <x:v>03 Core Components</x:v>
      </x:c>
      <x:c r="E15" s="23" t="str">
        <x:v>P0</x:v>
      </x:c>
      <x:c r="F15" s="23" t="n">
        <x:v>40</x:v>
      </x:c>
      <x:c r="G15" s="23" t="str">
        <x:v>SCR-002; SCR-006; SCR-007; SCR-013; SCR-022; SCR-023; SCR-026; SCR-027; SCR-028; SCR-029; SCR-030; SCR-032; SCR-044; SCR-046; SCR-047; SCR-070; SCR-071; SCR-072; SCR-082; SCR-083; SCR-084; SCR-085; SCR-086; SCR-087; SCR-090; SCR-112; SCR-114; SCR-117; SCR-142; SCR-143; SCR-159; SCR-173; SCR-174; SCR-176; SCR-178; SCR-188; SCR-203; SCR-208; SCR-209; SCR-210</x:v>
      </x:c>
      <x:c r="H15" s="23" t="n">
        <x:v>29</x:v>
      </x:c>
      <x:c r="I15" s="23" t="str">
        <x:v>modal | blocking | destructive</x:v>
      </x:c>
      <x:c r="J15" s="23" t="str"/>
      <x:c r="K15" s="23" t="str">
        <x:v>NFR-002; NFR-003; NFR-004; NFR-005</x:v>
      </x:c>
      <x:c r="L15" s="23" t="str">
        <x:v>Owns modal semantics, title, action ordering, dismissal rules and focus return.</x:v>
      </x:c>
      <x:c r="M15" s="23" t="str">
        <x:v>Preserve accessible name, focus context and user input when the operation cannot complete.</x:v>
      </x:c>
      <x:c r="N15" s="23" t="str">
        <x:v>Prototype-verified</x:v>
      </x:c>
      <x:c r="O15" s="23" t="str">
        <x:v>work/stage_5_prototype/src/App.jsx; work/stage_5_prototype/src/styles.css; work/stage_5_prototype/design-qa-stage5-surfaces.md</x:v>
      </x:c>
      <x:c r="P15" s="23" t="str">
        <x:v>Formal library frame, Windows runtime measurements and remaining module variants</x:v>
      </x:c>
      <x:c r="Q15" s="23" t="str">
        <x:v>0.9</x:v>
      </x:c>
      <x:c r="R15" s="26" t="str">
        <x:v>Frozen for Gate 5.2 candidate</x:v>
      </x:c>
    </x:row>
    <x:row r="16">
      <x:c r="A16" s="73" t="str">
        <x:v>CMP-012</x:v>
      </x:c>
      <x:c r="B16" s="23" t="str">
        <x:v>FocusTrap</x:v>
      </x:c>
      <x:c r="C16" s="23" t="str">
        <x:v>Task/Primitive/FocusTrap</x:v>
      </x:c>
      <x:c r="D16" s="23" t="str">
        <x:v>02 Primitives</x:v>
      </x:c>
      <x:c r="E16" s="23" t="str">
        <x:v>P0</x:v>
      </x:c>
      <x:c r="F16" s="23" t="n">
        <x:v>40</x:v>
      </x:c>
      <x:c r="G16" s="23" t="str">
        <x:v>SCR-002; SCR-006; SCR-007; SCR-013; SCR-022; SCR-023; SCR-026; SCR-027; SCR-028; SCR-029; SCR-030; SCR-032; SCR-044; SCR-046; SCR-047; SCR-070; SCR-071; SCR-072; SCR-082; SCR-083; SCR-084; SCR-085; SCR-086; SCR-087; SCR-090; SCR-112; SCR-114; SCR-117; SCR-142; SCR-143; SCR-159; SCR-173; SCR-174; SCR-176; SCR-178; SCR-188; SCR-203; SCR-208; SCR-209; SCR-210</x:v>
      </x:c>
      <x:c r="H16" s="23" t="n">
        <x:v>29</x:v>
      </x:c>
      <x:c r="I16" s="23" t="str">
        <x:v>initial | cycle | return-target</x:v>
      </x:c>
      <x:c r="J16" s="23" t="str"/>
      <x:c r="K16" s="23" t="str">
        <x:v>NFR-002; NFR-003; NFR-004; NFR-005</x:v>
      </x:c>
      <x:c r="L16" s="23" t="str">
        <x:v>Keeps keyboard focus inside blocking/modal content and restores it to the deterministic invoker.</x:v>
      </x:c>
      <x:c r="M16" s="23" t="str">
        <x:v>Preserve accessible name, focus context and user input when the operation cannot complete.</x:v>
      </x:c>
      <x:c r="N16" s="23" t="str">
        <x:v>Prototype-verified</x:v>
      </x:c>
      <x:c r="O16" s="23" t="str">
        <x:v>work/stage_5_prototype/src/App.jsx#useDialogFocusTrap/TaskEditorDialog; work/stage_5_2/Accessibility_Evidence_Working_0.4.md</x:v>
      </x:c>
      <x:c r="P16" s="23" t="str">
        <x:v>Formal library frame, Windows runtime measurements and remaining module variants</x:v>
      </x:c>
      <x:c r="Q16" s="23" t="str">
        <x:v>0.9</x:v>
      </x:c>
      <x:c r="R16" s="26" t="str">
        <x:v>Frozen for Gate 5.2 candidate</x:v>
      </x:c>
    </x:row>
    <x:row r="17">
      <x:c r="A17" s="73" t="str">
        <x:v>CMP-013</x:v>
      </x:c>
      <x:c r="B17" s="23" t="str">
        <x:v>ErrorMessage</x:v>
      </x:c>
      <x:c r="C17" s="23" t="str">
        <x:v>Task/State/ErrorMessage</x:v>
      </x:c>
      <x:c r="D17" s="23" t="str">
        <x:v>04 State Components</x:v>
      </x:c>
      <x:c r="E17" s="23" t="str">
        <x:v>P0</x:v>
      </x:c>
      <x:c r="F17" s="23" t="n">
        <x:v>38</x:v>
      </x:c>
      <x:c r="G17" s="23" t="str">
        <x:v>SCR-001; SCR-002; SCR-008; SCR-010; SCR-013; SCR-022; SCR-025; SCR-026; SCR-028; SCR-031; SCR-044; SCR-069; SCR-070; SCR-072; SCR-090; SCR-112; SCR-114; SCR-115; SCR-117; SCR-130; SCR-131; SCR-133; SCR-134; SCR-135; SCR-136; SCR-143; SCR-151; SCR-152; SCR-153; SCR-154; SCR-173; SCR-174; SCR-184; SCR-185; SCR-188; SCR-206; SCR-208; SCR-209</x:v>
      </x:c>
      <x:c r="H17" s="23" t="n">
        <x:v>30</x:v>
      </x:c>
      <x:c r="I17" s="23" t="str">
        <x:v>inline | block | page | trace-id</x:v>
      </x:c>
      <x:c r="J17" s="23" t="str">
        <x:v>ObjectUnavailable; ServerUnavailable</x:v>
      </x:c>
      <x:c r="K17" s="23" t="str">
        <x:v>NFR-002; NFR-003; NFR-004; NFR-005; NFR-017</x:v>
      </x:c>
      <x:c r="L17" s="23" t="str">
        <x:v>States the failure, safe consequence, recovery action and diagnostic identifier when useful.</x:v>
      </x:c>
      <x:c r="M17" s="23" t="str">
        <x:v>Never rely on color alone; state text and a safe recovery consequence are required.</x:v>
      </x:c>
      <x:c r="N17" s="23" t="str">
        <x:v>Prototype-verified</x:v>
      </x:c>
      <x:c r="O17" s="23" t="str">
        <x:v>work/stage_5_prototype/src/App.jsx; work/stage_5_prototype/src/styles.css; work/stage_5_prototype/design-qa-stage5-surfaces.md</x:v>
      </x:c>
      <x:c r="P17" s="23" t="str">
        <x:v>Formal library frame, Windows runtime measurements and remaining module variants</x:v>
      </x:c>
      <x:c r="Q17" s="23" t="str">
        <x:v>0.9</x:v>
      </x:c>
      <x:c r="R17" s="26" t="str">
        <x:v>Frozen for Gate 5.2 candidate</x:v>
      </x:c>
    </x:row>
    <x:row r="18">
      <x:c r="A18" s="73" t="str">
        <x:v>CMP-014</x:v>
      </x:c>
      <x:c r="B18" s="23" t="str">
        <x:v>DataList</x:v>
      </x:c>
      <x:c r="C18" s="23" t="str">
        <x:v>Task/Core/DataList</x:v>
      </x:c>
      <x:c r="D18" s="23" t="str">
        <x:v>03 Core Components</x:v>
      </x:c>
      <x:c r="E18" s="23" t="str">
        <x:v>P0</x:v>
      </x:c>
      <x:c r="F18" s="23" t="n">
        <x:v>37</x:v>
      </x:c>
      <x:c r="G18" s="23" t="str">
        <x:v>SCR-012; SCR-020; SCR-024; SCR-060; SCR-080; SCR-081; SCR-089; SCR-110; SCR-132; SCR-133; SCR-134; SCR-140; SCR-141; SCR-142; SCR-143; SCR-152; SCR-161; SCR-170; SCR-171; SCR-172; SCR-173; SCR-174; SCR-175; SCR-176; SCR-177; SCR-178; SCR-179; SCR-180; SCR-181; SCR-182; SCR-183; SCR-184; SCR-185; SCR-186; SCR-187; SCR-188; SCR-201</x:v>
      </x:c>
      <x:c r="H18" s="23" t="n">
        <x:v>28</x:v>
      </x:c>
      <x:c r="I18" s="23" t="str">
        <x:v>loading | empty | selected | stale | partial</x:v>
      </x:c>
      <x:c r="J18" s="23" t="str">
        <x:v>Loading; Refreshing; Empty; FilteredEmpty; PartialAccess</x:v>
      </x:c>
      <x:c r="K18" s="23" t="str">
        <x:v>NFR-002; NFR-003; NFR-004; NFR-005; NFR-006; NFR-023; NFR-025</x:v>
      </x:c>
      <x:c r="L18" s="23" t="str">
        <x:v>Presents an authorized collection with stable selection, loading, empty, stale and partial states.</x:v>
      </x:c>
      <x:c r="M18" s="23" t="str">
        <x:v>Preserve accessible name, focus context and user input when the operation cannot complete.</x:v>
      </x:c>
      <x:c r="N18" s="23" t="str">
        <x:v>Prototype-verified</x:v>
      </x:c>
      <x:c r="O18" s="23" t="str">
        <x:v>work/stage_5_prototype/src/App.jsx; work/stage_5_prototype/src/styles.css; work/stage_5_prototype/design-qa-stage5-surfaces.md</x:v>
      </x:c>
      <x:c r="P18" s="23" t="str">
        <x:v>Formal library frame, Windows runtime measurements and remaining module variants</x:v>
      </x:c>
      <x:c r="Q18" s="23" t="str">
        <x:v>0.9</x:v>
      </x:c>
      <x:c r="R18" s="26" t="str">
        <x:v>Frozen for Gate 5.2 candidate</x:v>
      </x:c>
    </x:row>
    <x:row r="19">
      <x:c r="A19" s="73" t="str">
        <x:v>CMP-015</x:v>
      </x:c>
      <x:c r="B19" s="23" t="str">
        <x:v>SemanticStatus</x:v>
      </x:c>
      <x:c r="C19" s="23" t="str">
        <x:v>Task/State/SemanticStatus</x:v>
      </x:c>
      <x:c r="D19" s="23" t="str">
        <x:v>04 State Components</x:v>
      </x:c>
      <x:c r="E19" s="23" t="str">
        <x:v>P0</x:v>
      </x:c>
      <x:c r="F19" s="23" t="n">
        <x:v>34</x:v>
      </x:c>
      <x:c r="G19" s="23" t="str">
        <x:v>SCR-003; SCR-004; SCR-005; SCR-007; SCR-008; SCR-010; SCR-021; SCR-025; SCR-031; SCR-034; SCR-044; SCR-045; SCR-061; SCR-069; SCR-072; SCR-083; SCR-087; SCR-130; SCR-131; SCR-143; SCR-155; SCR-157; SCR-160; SCR-174; SCR-176; SCR-180; SCR-183; SCR-185; SCR-188; SCR-205; SCR-206; SCR-208; SCR-211; SCR-212</x:v>
      </x:c>
      <x:c r="H19" s="23" t="n">
        <x:v>21</x:v>
      </x:c>
      <x:c r="I19" s="23" t="str">
        <x:v>info | success | warning | danger | offline</x:v>
      </x:c>
      <x:c r="J19" s="23" t="str"/>
      <x:c r="K19" s="23" t="str">
        <x:v>NFR-002; NFR-003; NFR-004; NFR-005</x:v>
      </x:c>
      <x:c r="L19" s="23" t="str">
        <x:v>Pairs text and icon with semantic color for status that remains understandable without color.</x:v>
      </x:c>
      <x:c r="M19" s="23" t="str">
        <x:v>Never rely on color alone; state text and a safe recovery consequence are required.</x:v>
      </x:c>
      <x:c r="N19" s="23" t="str">
        <x:v>Prototype-verified</x:v>
      </x:c>
      <x:c r="O19" s="23" t="str">
        <x:v>work/stage_5_prototype/src/App.jsx; work/stage_5_prototype/src/styles.css; work/stage_5_prototype/design-qa-stage5-surfaces.md</x:v>
      </x:c>
      <x:c r="P19" s="23" t="str">
        <x:v>Formal library frame, Windows runtime measurements and remaining module variants</x:v>
      </x:c>
      <x:c r="Q19" s="23" t="str">
        <x:v>0.9</x:v>
      </x:c>
      <x:c r="R19" s="26" t="str">
        <x:v>Frozen for Gate 5.2 candidate</x:v>
      </x:c>
    </x:row>
    <x:row r="20">
      <x:c r="A20" s="73" t="str">
        <x:v>CMP-016</x:v>
      </x:c>
      <x:c r="B20" s="23" t="str">
        <x:v>TaskRow</x:v>
      </x:c>
      <x:c r="C20" s="23" t="str">
        <x:v>Task/Domain/TaskRow</x:v>
      </x:c>
      <x:c r="D20" s="23" t="str">
        <x:v>05 Domain Components</x:v>
      </x:c>
      <x:c r="E20" s="23" t="str">
        <x:v>P0</x:v>
      </x:c>
      <x:c r="F20" s="23" t="n">
        <x:v>32</x:v>
      </x:c>
      <x:c r="G20" s="23" t="str">
        <x:v>SCR-008; SCR-010; SCR-011; SCR-013; SCR-020; SCR-021; SCR-022; SCR-023; SCR-024; SCR-025; SCR-026; SCR-027; SCR-028; SCR-029; SCR-030; SCR-031; SCR-032; SCR-033; SCR-034; SCR-035; SCR-036; SCR-040; SCR-041; SCR-042; SCR-043; SCR-044; SCR-045; SCR-046; SCR-047; SCR-062; SCR-088; SCR-118</x:v>
      </x:c>
      <x:c r="H20" s="23" t="n">
        <x:v>18</x:v>
      </x:c>
      <x:c r="I20" s="23" t="str">
        <x:v>default | focused | selected | overdue | read-only</x:v>
      </x:c>
      <x:c r="J20" s="23" t="str"/>
      <x:c r="K20" s="23" t="str">
        <x:v>NFR-002; NFR-003; NFR-004; NFR-005</x:v>
      </x:c>
      <x:c r="L20" s="23" t="str">
        <x:v>Summarizes task identity, project/assignee, status, urgency and due information at list density.</x:v>
      </x:c>
      <x:c r="M20" s="23" t="str">
        <x:v>Current server capability and object version remain authoritative.</x:v>
      </x:c>
      <x:c r="N20" s="23" t="str">
        <x:v>Prototype-verified</x:v>
      </x:c>
      <x:c r="O20" s="23" t="str">
        <x:v>work/stage_5_prototype/src/App.jsx; work/stage_5_prototype/src/styles.css; work/stage_5_prototype/design-qa-stage5-surfaces.md</x:v>
      </x:c>
      <x:c r="P20" s="23" t="str">
        <x:v>Formal library frame, Windows runtime measurements and remaining module variants</x:v>
      </x:c>
      <x:c r="Q20" s="23" t="str">
        <x:v>0.9</x:v>
      </x:c>
      <x:c r="R20" s="26" t="str">
        <x:v>Frozen for Gate 5.2 candidate</x:v>
      </x:c>
    </x:row>
    <x:row r="21">
      <x:c r="A21" s="73" t="str">
        <x:v>CMP-017</x:v>
      </x:c>
      <x:c r="B21" s="23" t="str">
        <x:v>TaskStatusControl</x:v>
      </x:c>
      <x:c r="C21" s="23" t="str">
        <x:v>Task/Domain/TaskStatusControl</x:v>
      </x:c>
      <x:c r="D21" s="23" t="str">
        <x:v>05 Domain Components</x:v>
      </x:c>
      <x:c r="E21" s="23" t="str">
        <x:v>P0</x:v>
      </x:c>
      <x:c r="F21" s="23" t="n">
        <x:v>32</x:v>
      </x:c>
      <x:c r="G21" s="23" t="str">
        <x:v>SCR-008; SCR-010; SCR-011; SCR-013; SCR-020; SCR-021; SCR-022; SCR-023; SCR-024; SCR-025; SCR-026; SCR-027; SCR-028; SCR-029; SCR-030; SCR-031; SCR-032; SCR-033; SCR-034; SCR-035; SCR-036; SCR-040; SCR-041; SCR-042; SCR-043; SCR-044; SCR-045; SCR-046; SCR-047; SCR-062; SCR-088; SCR-118</x:v>
      </x:c>
      <x:c r="H21" s="23" t="n">
        <x:v>18</x:v>
      </x:c>
      <x:c r="I21" s="23" t="str">
        <x:v>allowed | pending | disabled | conflict</x:v>
      </x:c>
      <x:c r="J21" s="23" t="str"/>
      <x:c r="K21" s="23" t="str">
        <x:v>NFR-002; NFR-003; NFR-004; NFR-005</x:v>
      </x:c>
      <x:c r="L21" s="23" t="str">
        <x:v>Offers only server-allowed transitions and preserves current state on conflict or failure.</x:v>
      </x:c>
      <x:c r="M21" s="23" t="str">
        <x:v>Preserve the local/current value; never overwrite or report success after conflict.</x:v>
      </x:c>
      <x:c r="N21" s="23" t="str">
        <x:v>Prototype-verified</x:v>
      </x:c>
      <x:c r="O21" s="23" t="str">
        <x:v>work/stage_5_prototype/src/App.jsx; work/stage_5_prototype/src/styles.css; work/stage_5_prototype/design-qa-stage5-surfaces.md</x:v>
      </x:c>
      <x:c r="P21" s="23" t="str">
        <x:v>Formal library frame, Windows runtime measurements and remaining module variants</x:v>
      </x:c>
      <x:c r="Q21" s="23" t="str">
        <x:v>0.9</x:v>
      </x:c>
      <x:c r="R21" s="26" t="str">
        <x:v>Frozen for Gate 5.2 candidate</x:v>
      </x:c>
    </x:row>
    <x:row r="22">
      <x:c r="A22" s="73" t="str">
        <x:v>CMP-018</x:v>
      </x:c>
      <x:c r="B22" s="23" t="str">
        <x:v>UrgencyIndicator</x:v>
      </x:c>
      <x:c r="C22" s="23" t="str">
        <x:v>Task/Domain/UrgencyIndicator</x:v>
      </x:c>
      <x:c r="D22" s="23" t="str">
        <x:v>05 Domain Components</x:v>
      </x:c>
      <x:c r="E22" s="23" t="str">
        <x:v>P0</x:v>
      </x:c>
      <x:c r="F22" s="23" t="n">
        <x:v>32</x:v>
      </x:c>
      <x:c r="G22" s="23" t="str">
        <x:v>SCR-008; SCR-010; SCR-011; SCR-013; SCR-020; SCR-021; SCR-022; SCR-023; SCR-024; SCR-025; SCR-026; SCR-027; SCR-028; SCR-029; SCR-030; SCR-031; SCR-032; SCR-033; SCR-034; SCR-035; SCR-036; SCR-040; SCR-041; SCR-042; SCR-043; SCR-044; SCR-045; SCR-046; SCR-047; SCR-062; SCR-088; SCR-118</x:v>
      </x:c>
      <x:c r="H22" s="23" t="n">
        <x:v>18</x:v>
      </x:c>
      <x:c r="I22" s="23" t="str">
        <x:v>low | medium | high | critical</x:v>
      </x:c>
      <x:c r="J22" s="23" t="str"/>
      <x:c r="K22" s="23" t="str">
        <x:v>NFR-002; NFR-003; NFR-004; NFR-005</x:v>
      </x:c>
      <x:c r="L22" s="23" t="str">
        <x:v>Expresses low/medium/high/critical urgency with text and a directional/status icon.</x:v>
      </x:c>
      <x:c r="M22" s="23" t="str">
        <x:v>Current server capability and object version remain authoritative.</x:v>
      </x:c>
      <x:c r="N22" s="23" t="str">
        <x:v>Prototype-verified</x:v>
      </x:c>
      <x:c r="O22" s="23" t="str">
        <x:v>work/stage_5_prototype/src/App.jsx; work/stage_5_prototype/src/styles.css; work/stage_5_prototype/design-qa-stage5-surfaces.md</x:v>
      </x:c>
      <x:c r="P22" s="23" t="str">
        <x:v>Formal library frame, Windows runtime measurements and remaining module variants</x:v>
      </x:c>
      <x:c r="Q22" s="23" t="str">
        <x:v>0.9</x:v>
      </x:c>
      <x:c r="R22" s="26" t="str">
        <x:v>Frozen for Gate 5.2 candidate</x:v>
      </x:c>
    </x:row>
    <x:row r="23">
      <x:c r="A23" s="73" t="str">
        <x:v>CMP-019</x:v>
      </x:c>
      <x:c r="B23" s="23" t="str">
        <x:v>InspectorPanel</x:v>
      </x:c>
      <x:c r="C23" s="23" t="str">
        <x:v>Task/Pattern/InspectorPanel</x:v>
      </x:c>
      <x:c r="D23" s="23" t="str">
        <x:v>06 Patterns</x:v>
      </x:c>
      <x:c r="E23" s="23" t="str">
        <x:v>P0</x:v>
      </x:c>
      <x:c r="F23" s="23" t="n">
        <x:v>28</x:v>
      </x:c>
      <x:c r="G23" s="23" t="str">
        <x:v>SCR-011; SCR-013; SCR-021; SCR-024; SCR-025; SCR-028; SCR-030; SCR-033; SCR-035; SCR-036; SCR-045; SCR-081; SCR-088; SCR-090; SCR-111; SCR-113; SCR-115; SCR-118; SCR-130; SCR-135; SCR-160; SCR-172; SCR-179; SCR-200; SCR-201; SCR-202; SCR-203; SCR-209</x:v>
      </x:c>
      <x:c r="H23" s="23" t="n">
        <x:v>26</x:v>
      </x:c>
      <x:c r="I23" s="23" t="str">
        <x:v>empty-selection | loading | details | stale</x:v>
      </x:c>
      <x:c r="J23" s="23" t="str">
        <x:v>Loading; ObjectUnavailable; PartialAccess</x:v>
      </x:c>
      <x:c r="K23" s="23" t="str">
        <x:v>NFR-002; NFR-003; NFR-004; NFR-005</x:v>
      </x:c>
      <x:c r="L23" s="23" t="str">
        <x:v>Shows details for the current selection while preserving list context and stale/read-only disclosure.</x:v>
      </x:c>
      <x:c r="M23" s="23" t="str">
        <x:v>Preserve accessible name, focus context and user input when the operation cannot complete.</x:v>
      </x:c>
      <x:c r="N23" s="23" t="str">
        <x:v>Prototype-verified</x:v>
      </x:c>
      <x:c r="O23" s="23" t="str">
        <x:v>work/stage_5_prototype/src/App.jsx; work/stage_5_prototype/src/styles.css; work/stage_5_prototype/design-qa-stage5-surfaces.md</x:v>
      </x:c>
      <x:c r="P23" s="23" t="str">
        <x:v>Formal library frame, Windows runtime measurements and remaining module variants</x:v>
      </x:c>
      <x:c r="Q23" s="23" t="str">
        <x:v>0.9</x:v>
      </x:c>
      <x:c r="R23" s="26" t="str">
        <x:v>Frozen for Gate 5.2 candidate</x:v>
      </x:c>
    </x:row>
    <x:row r="24">
      <x:c r="A24" s="73" t="str">
        <x:v>CMP-020</x:v>
      </x:c>
      <x:c r="B24" s="23" t="str">
        <x:v>EmptyState</x:v>
      </x:c>
      <x:c r="C24" s="23" t="str">
        <x:v>Task/State/EmptyState</x:v>
      </x:c>
      <x:c r="D24" s="23" t="str">
        <x:v>04 State Components</x:v>
      </x:c>
      <x:c r="E24" s="23" t="str">
        <x:v>P0</x:v>
      </x:c>
      <x:c r="F24" s="23" t="n">
        <x:v>20</x:v>
      </x:c>
      <x:c r="G24" s="23" t="str">
        <x:v>SCR-005; SCR-010; SCR-012; SCR-020; SCR-021; SCR-040; SCR-045; SCR-060; SCR-062; SCR-080; SCR-110; SCR-116; SCR-130; SCR-133; SCR-134; SCR-135; SCR-136; SCR-140; SCR-141; SCR-171</x:v>
      </x:c>
      <x:c r="H24" s="23" t="n">
        <x:v>18</x:v>
      </x:c>
      <x:c r="I24" s="23" t="str">
        <x:v>authorized-empty | filtered-empty | no-cache</x:v>
      </x:c>
      <x:c r="J24" s="23" t="str">
        <x:v>Empty; FilteredEmpty</x:v>
      </x:c>
      <x:c r="K24" s="23" t="str">
        <x:v>NFR-002; NFR-003; NFR-004; NFR-005</x:v>
      </x:c>
      <x:c r="L24" s="23" t="str">
        <x:v>Explains authorized empty, filtered empty or no-cache conditions with the smallest safe next action.</x:v>
      </x:c>
      <x:c r="M24" s="23" t="str">
        <x:v>Never rely on color alone; state text and a safe recovery consequence are required.</x:v>
      </x:c>
      <x:c r="N24" s="23" t="str">
        <x:v>Prototype-verified</x:v>
      </x:c>
      <x:c r="O24" s="23" t="str">
        <x:v>work/stage_5_prototype/src/App.jsx; work/stage_5_prototype/src/styles.css; work/stage_5_prototype/design-qa-stage5-surfaces.md</x:v>
      </x:c>
      <x:c r="P24" s="23" t="str">
        <x:v>Formal library frame, Windows runtime measurements and remaining module variants</x:v>
      </x:c>
      <x:c r="Q24" s="23" t="str">
        <x:v>0.9</x:v>
      </x:c>
      <x:c r="R24" s="26" t="str">
        <x:v>Frozen for Gate 5.2 candidate</x:v>
      </x:c>
    </x:row>
    <x:row r="25">
      <x:c r="A25" s="73" t="str">
        <x:v>CMP-021</x:v>
      </x:c>
      <x:c r="B25" s="23" t="str">
        <x:v>LoadingState</x:v>
      </x:c>
      <x:c r="C25" s="23" t="str">
        <x:v>Task/State/LoadingState</x:v>
      </x:c>
      <x:c r="D25" s="23" t="str">
        <x:v>04 State Components</x:v>
      </x:c>
      <x:c r="E25" s="23" t="str">
        <x:v>P0</x:v>
      </x:c>
      <x:c r="F25" s="23" t="n">
        <x:v>18</x:v>
      </x:c>
      <x:c r="G25" s="23" t="str">
        <x:v>SCR-001; SCR-002; SCR-003; SCR-010; SCR-020; SCR-024; SCR-027; SCR-035; SCR-040; SCR-061; SCR-080; SCR-133; SCR-134; SCR-160; SCR-186; SCR-200; SCR-206; SCR-209</x:v>
      </x:c>
      <x:c r="H25" s="23" t="n">
        <x:v>24</x:v>
      </x:c>
      <x:c r="I25" s="23" t="str">
        <x:v>initial | refreshing | section</x:v>
      </x:c>
      <x:c r="J25" s="23" t="str">
        <x:v>Initial; Loading; Refreshing</x:v>
      </x:c>
      <x:c r="K25" s="23" t="str">
        <x:v>NFR-002; NFR-003; NFR-004; NFR-005</x:v>
      </x:c>
      <x:c r="L25" s="23" t="str">
        <x:v>Reserves layout and distinguishes initial load, refresh and section-level progress.</x:v>
      </x:c>
      <x:c r="M25" s="23" t="str">
        <x:v>Never rely on color alone; state text and a safe recovery consequence are required.</x:v>
      </x:c>
      <x:c r="N25" s="23" t="str">
        <x:v>Prototype-verified</x:v>
      </x:c>
      <x:c r="O25" s="23" t="str">
        <x:v>work/stage_5_prototype/src/App.jsx; work/stage_5_prototype/src/styles.css; work/stage_5_prototype/design-qa-stage5-surfaces.md</x:v>
      </x:c>
      <x:c r="P25" s="23" t="str">
        <x:v>Formal library frame, Windows runtime measurements and remaining module variants</x:v>
      </x:c>
      <x:c r="Q25" s="23" t="str">
        <x:v>0.9</x:v>
      </x:c>
      <x:c r="R25" s="26" t="str">
        <x:v>Frozen for Gate 5.2 candidate</x:v>
      </x:c>
    </x:row>
    <x:row r="26">
      <x:c r="A26" s="73" t="str">
        <x:v>CMP-022</x:v>
      </x:c>
      <x:c r="B26" s="23" t="str">
        <x:v>CommandBar</x:v>
      </x:c>
      <x:c r="C26" s="23" t="str">
        <x:v>Task/Core/CommandBar</x:v>
      </x:c>
      <x:c r="D26" s="23" t="str">
        <x:v>03 Core Components</x:v>
      </x:c>
      <x:c r="E26" s="23" t="str">
        <x:v>P0</x:v>
      </x:c>
      <x:c r="F26" s="23" t="n">
        <x:v>3</x:v>
      </x:c>
      <x:c r="G26" s="23" t="str">
        <x:v>SCR-004; SCR-150; SCR-170</x:v>
      </x:c>
      <x:c r="H26" s="23" t="n">
        <x:v>7</x:v>
      </x:c>
      <x:c r="I26" s="23" t="str">
        <x:v>page | selection | narrow</x:v>
      </x:c>
      <x:c r="J26" s="23" t="str"/>
      <x:c r="K26" s="23" t="str">
        <x:v>NFR-002; NFR-003; NFR-004; NFR-005</x:v>
      </x:c>
      <x:c r="L26" s="23" t="str">
        <x:v>Prioritizes page or selection commands and collapses to named icon actions in narrow layouts.</x:v>
      </x:c>
      <x:c r="M26" s="23" t="str">
        <x:v>Preserve accessible name, focus context and user input when the operation cannot complete.</x:v>
      </x:c>
      <x:c r="N26" s="23" t="str">
        <x:v>Prototype-verified</x:v>
      </x:c>
      <x:c r="O26" s="23" t="str">
        <x:v>work/stage_5_prototype/src/App.jsx; work/stage_5_prototype/src/styles.css; work/stage_5_prototype/design-qa-stage5-surfaces.md</x:v>
      </x:c>
      <x:c r="P26" s="23" t="str">
        <x:v>Formal library frame, Windows runtime measurements and remaining module variants</x:v>
      </x:c>
      <x:c r="Q26" s="23" t="str">
        <x:v>0.9</x:v>
      </x:c>
      <x:c r="R26" s="26" t="str">
        <x:v>Frozen for Gate 5.2 candidate</x:v>
      </x:c>
    </x:row>
    <x:row r="27">
      <x:c r="A27" s="73" t="str">
        <x:v>CMP-023</x:v>
      </x:c>
      <x:c r="B27" s="23" t="str">
        <x:v>ConnectionStatus</x:v>
      </x:c>
      <x:c r="C27" s="23" t="str">
        <x:v>Task/State/ConnectionStatus</x:v>
      </x:c>
      <x:c r="D27" s="23" t="str">
        <x:v>04 State Components</x:v>
      </x:c>
      <x:c r="E27" s="23" t="str">
        <x:v>P0</x:v>
      </x:c>
      <x:c r="F27" s="23" t="n">
        <x:v>3</x:v>
      </x:c>
      <x:c r="G27" s="23" t="str">
        <x:v>SCR-004; SCR-150; SCR-170</x:v>
      </x:c>
      <x:c r="H27" s="23" t="n">
        <x:v>7</x:v>
      </x:c>
      <x:c r="I27" s="23" t="str">
        <x:v>online | syncing | offline | read-only</x:v>
      </x:c>
      <x:c r="J27" s="23" t="str">
        <x:v>ServerUnavailable; Reconnecting</x:v>
      </x:c>
      <x:c r="K27" s="23" t="str">
        <x:v>NFR-002; NFR-003; NFR-004; NFR-005; NFR-009; NFR-010; NFR-024</x:v>
      </x:c>
      <x:c r="L27" s="23" t="str">
        <x:v>Provides persistent online/syncing/offline/read-only state with access to diagnostics.</x:v>
      </x:c>
      <x:c r="M27" s="23" t="str">
        <x:v>Never rely on color alone; state text and a safe recovery consequence are required.</x:v>
      </x:c>
      <x:c r="N27" s="23" t="str">
        <x:v>Prototype-verified</x:v>
      </x:c>
      <x:c r="O27" s="23" t="str">
        <x:v>work/stage_5_prototype/src/App.jsx; work/stage_5_prototype/src/styles.css; work/stage_5_prototype/design-qa-stage5-surfaces.md</x:v>
      </x:c>
      <x:c r="P27" s="23" t="str">
        <x:v>Formal library frame, Windows runtime measurements and remaining module variants</x:v>
      </x:c>
      <x:c r="Q27" s="23" t="str">
        <x:v>0.9</x:v>
      </x:c>
      <x:c r="R27" s="26" t="str">
        <x:v>Frozen for Gate 5.2 candidate</x:v>
      </x:c>
    </x:row>
    <x:row r="28">
      <x:c r="A28" s="73" t="str">
        <x:v>CMP-024</x:v>
      </x:c>
      <x:c r="B28" s="23" t="str">
        <x:v>NavigationRail</x:v>
      </x:c>
      <x:c r="C28" s="23" t="str">
        <x:v>Task/Core/NavigationRail</x:v>
      </x:c>
      <x:c r="D28" s="23" t="str">
        <x:v>03 Core Components</x:v>
      </x:c>
      <x:c r="E28" s="23" t="str">
        <x:v>P0</x:v>
      </x:c>
      <x:c r="F28" s="23" t="n">
        <x:v>3</x:v>
      </x:c>
      <x:c r="G28" s="23" t="str">
        <x:v>SCR-004; SCR-150; SCR-170</x:v>
      </x:c>
      <x:c r="H28" s="23" t="n">
        <x:v>7</x:v>
      </x:c>
      <x:c r="I28" s="23" t="str">
        <x:v>expanded | compact | capability-filtered</x:v>
      </x:c>
      <x:c r="J28" s="23" t="str"/>
      <x:c r="K28" s="23" t="str">
        <x:v>NFR-002; NFR-003; NFR-004; NFR-005</x:v>
      </x:c>
      <x:c r="L28" s="23" t="str">
        <x:v>Navigates primary modules, exposes the active destination and preserves accessible names in compact mode.</x:v>
      </x:c>
      <x:c r="M28" s="23" t="str">
        <x:v>Preserve accessible name, focus context and user input when the operation cannot complete.</x:v>
      </x:c>
      <x:c r="N28" s="23" t="str">
        <x:v>Prototype-verified</x:v>
      </x:c>
      <x:c r="O28" s="23" t="str">
        <x:v>work/stage_5_prototype/src/App.jsx; work/stage_5_prototype/src/styles.css; work/stage_5_prototype/design-qa-stage5-surfaces.md</x:v>
      </x:c>
      <x:c r="P28" s="23" t="str">
        <x:v>Formal library frame, Windows runtime measurements and remaining module variants</x:v>
      </x:c>
      <x:c r="Q28" s="23" t="str">
        <x:v>0.9</x:v>
      </x:c>
      <x:c r="R28" s="26" t="str">
        <x:v>Frozen for Gate 5.2 candidate</x:v>
      </x:c>
    </x:row>
    <x:row r="29">
      <x:c r="A29" s="73" t="str">
        <x:v>CMP-025</x:v>
      </x:c>
      <x:c r="B29" s="23" t="str">
        <x:v>ProfileMenu</x:v>
      </x:c>
      <x:c r="C29" s="23" t="str">
        <x:v>Task/Core/ProfileMenu</x:v>
      </x:c>
      <x:c r="D29" s="23" t="str">
        <x:v>03 Core Components</x:v>
      </x:c>
      <x:c r="E29" s="23" t="str">
        <x:v>P0</x:v>
      </x:c>
      <x:c r="F29" s="23" t="n">
        <x:v>3</x:v>
      </x:c>
      <x:c r="G29" s="23" t="str">
        <x:v>SCR-004; SCR-150; SCR-170</x:v>
      </x:c>
      <x:c r="H29" s="23" t="n">
        <x:v>7</x:v>
      </x:c>
      <x:c r="I29" s="23" t="str">
        <x:v>normal | offline | session-issue</x:v>
      </x:c>
      <x:c r="J29" s="23" t="str"/>
      <x:c r="K29" s="23" t="str">
        <x:v>NFR-002; NFR-003; NFR-004; NFR-005</x:v>
      </x:c>
      <x:c r="L29" s="23" t="str">
        <x:v>Shows current identity and safe account/session actions without exposing hidden directory data.</x:v>
      </x:c>
      <x:c r="M29" s="23" t="str">
        <x:v>Preserve accessible name, focus context and user input when the operation cannot complete.</x:v>
      </x:c>
      <x:c r="N29" s="23" t="str">
        <x:v>Prototype-verified</x:v>
      </x:c>
      <x:c r="O29" s="23" t="str">
        <x:v>work/stage_5_prototype/src/App.jsx; work/stage_5_prototype/src/styles.css; work/stage_5_prototype/design-qa-stage5-surfaces.md</x:v>
      </x:c>
      <x:c r="P29" s="23" t="str">
        <x:v>Formal library frame, Windows runtime measurements and remaining module variants</x:v>
      </x:c>
      <x:c r="Q29" s="23" t="str">
        <x:v>0.9</x:v>
      </x:c>
      <x:c r="R29" s="26" t="str">
        <x:v>Frozen for Gate 5.2 candidate</x:v>
      </x:c>
    </x:row>
    <x:row r="30">
      <x:c r="A30" s="73" t="str">
        <x:v>CMP-026</x:v>
      </x:c>
      <x:c r="B30" s="23" t="str">
        <x:v>PeoplePicker</x:v>
      </x:c>
      <x:c r="C30" s="23" t="str">
        <x:v>Task/Domain/PeoplePicker</x:v>
      </x:c>
      <x:c r="D30" s="23" t="str">
        <x:v>05 Domain Components</x:v>
      </x:c>
      <x:c r="E30" s="23" t="str">
        <x:v>P1</x:v>
      </x:c>
      <x:c r="F30" s="23" t="n">
        <x:v>32</x:v>
      </x:c>
      <x:c r="G30" s="23" t="str">
        <x:v>SCR-011; SCR-020; SCR-021; SCR-022; SCR-023; SCR-024; SCR-025; SCR-026; SCR-027; SCR-028; SCR-029; SCR-030; SCR-031; SCR-032; SCR-033; SCR-034; SCR-035; SCR-036; SCR-042; SCR-060; SCR-061; SCR-062; SCR-063; SCR-064; SCR-065; SCR-066; SCR-067; SCR-068; SCR-069; SCR-070; SCR-071; SCR-072</x:v>
      </x:c>
      <x:c r="H30" s="23" t="n">
        <x:v>19</x:v>
      </x:c>
      <x:c r="I30" s="23" t="str">
        <x:v>loading | results | selected | redacted | unavailable</x:v>
      </x:c>
      <x:c r="J30" s="23" t="str"/>
      <x:c r="K30" s="23" t="str">
        <x:v>NFR-002; NFR-003; NFR-004; NFR-005</x:v>
      </x:c>
      <x:c r="L30" s="23" t="str">
        <x:v>Selects authorized people, communicates redaction/unavailability and never reveals forbidden directory entries.</x:v>
      </x:c>
      <x:c r="M30" s="23" t="str">
        <x:v>Current server capability and object version remain authoritative.</x:v>
      </x:c>
      <x:c r="N30" s="23" t="str">
        <x:v>Prototype-verified</x:v>
      </x:c>
      <x:c r="O30" s="23" t="str">
        <x:v>work/stage_5_prototype/src/App.jsx#TaskEditorDialog; work/stage_5_prototype/design-qa-stage5-surfaces.md</x:v>
      </x:c>
      <x:c r="P30" s="23" t="str">
        <x:v>Formal library frame, Windows runtime measurements and remaining module variants</x:v>
      </x:c>
      <x:c r="Q30" s="23" t="str">
        <x:v>0.9</x:v>
      </x:c>
      <x:c r="R30" s="26" t="str">
        <x:v>Frozen for Gate 5.2 candidate</x:v>
      </x:c>
    </x:row>
    <x:row r="31">
      <x:c r="A31" s="73" t="str">
        <x:v>CMP-027</x:v>
      </x:c>
      <x:c r="B31" s="23" t="str">
        <x:v>DateTimePicker</x:v>
      </x:c>
      <x:c r="C31" s="23" t="str">
        <x:v>Task/Domain/DateTimePicker</x:v>
      </x:c>
      <x:c r="D31" s="23" t="str">
        <x:v>05 Domain Components</x:v>
      </x:c>
      <x:c r="E31" s="23" t="str">
        <x:v>P1</x:v>
      </x:c>
      <x:c r="F31" s="23" t="n">
        <x:v>30</x:v>
      </x:c>
      <x:c r="G31" s="23" t="str">
        <x:v>SCR-005; SCR-008; SCR-021; SCR-022; SCR-026; SCR-029; SCR-030; SCR-036; SCR-040; SCR-041; SCR-042; SCR-043; SCR-044; SCR-045; SCR-046; SCR-047; SCR-063; SCR-070; SCR-082; SCR-085; SCR-112; SCR-114; SCR-116; SCR-131; SCR-141; SCR-151; SCR-154; SCR-160; SCR-173; SCR-206</x:v>
      </x:c>
      <x:c r="H31" s="23" t="n">
        <x:v>20</x:v>
      </x:c>
      <x:c r="I31" s="23" t="str">
        <x:v>date-only | date-time | invalid | disabled</x:v>
      </x:c>
      <x:c r="J31" s="23" t="str"/>
      <x:c r="K31" s="23" t="str">
        <x:v>NFR-002; NFR-003; NFR-004; NFR-005; NFR-007</x:v>
      </x:c>
      <x:c r="L31" s="23" t="str">
        <x:v>Captures date/date-time values with timezone context, validation and disabled/read-only behavior.</x:v>
      </x:c>
      <x:c r="M31" s="23" t="str">
        <x:v>Current server capability and object version remain authoritative.</x:v>
      </x:c>
      <x:c r="N31" s="23" t="str">
        <x:v>Prototype-verified</x:v>
      </x:c>
      <x:c r="O31" s="23" t="str">
        <x:v>work/stage_5_prototype/src/App.jsx#TaskEditorDialog; work/stage_5_prototype/implementation-direction2-task-scheduling.png</x:v>
      </x:c>
      <x:c r="P31" s="23" t="str">
        <x:v>Formal library frame, Windows runtime measurements and remaining module variants</x:v>
      </x:c>
      <x:c r="Q31" s="23" t="str">
        <x:v>0.9</x:v>
      </x:c>
      <x:c r="R31" s="26" t="str">
        <x:v>Frozen for Gate 5.2 candidate</x:v>
      </x:c>
    </x:row>
    <x:row r="32">
      <x:c r="A32" s="73" t="str">
        <x:v>CMP-028</x:v>
      </x:c>
      <x:c r="B32" s="23" t="str">
        <x:v>TimelineHistory</x:v>
      </x:c>
      <x:c r="C32" s="23" t="str">
        <x:v>Task/Domain/TimelineHistory</x:v>
      </x:c>
      <x:c r="D32" s="23" t="str">
        <x:v>05 Domain Components</x:v>
      </x:c>
      <x:c r="E32" s="23" t="str">
        <x:v>P1</x:v>
      </x:c>
      <x:c r="F32" s="23" t="n">
        <x:v>28</x:v>
      </x:c>
      <x:c r="G32" s="23" t="str">
        <x:v>SCR-024; SCR-036; SCR-068; SCR-081; SCR-140; SCR-141; SCR-142; SCR-143; SCR-170; SCR-171; SCR-172; SCR-173; SCR-174; SCR-175; SCR-176; SCR-177; SCR-178; SCR-179; SCR-180; SCR-181; SCR-182; SCR-183; SCR-184; SCR-185; SCR-186; SCR-187; SCR-188; SCR-201</x:v>
      </x:c>
      <x:c r="H32" s="23" t="n">
        <x:v>20</x:v>
      </x:c>
      <x:c r="I32" s="23" t="str">
        <x:v>loading | content | empty | partial</x:v>
      </x:c>
      <x:c r="J32" s="23" t="str"/>
      <x:c r="K32" s="23" t="str">
        <x:v>NFR-002; NFR-003; NFR-004; NFR-005; NFR-021; NFR-023</x:v>
      </x:c>
      <x:c r="L32" s="23" t="str">
        <x:v>Displays chronological authorized changes with actor, timestamp, action and redaction handling.</x:v>
      </x:c>
      <x:c r="M32" s="23" t="str">
        <x:v>Current server capability and object version remain authoritative.</x:v>
      </x:c>
      <x:c r="N32" s="23" t="str">
        <x:v>Prototype-verified</x:v>
      </x:c>
      <x:c r="O32" s="23" t="str">
        <x:v>work/stage_5_prototype/src/App.jsx#ProjectsSurface; work/stage_5_prototype/implementation-direction2-project-history.png</x:v>
      </x:c>
      <x:c r="P32" s="23" t="str">
        <x:v>Formal library frame, Windows runtime measurements and remaining module variants</x:v>
      </x:c>
      <x:c r="Q32" s="23" t="str">
        <x:v>0.9</x:v>
      </x:c>
      <x:c r="R32" s="26" t="str">
        <x:v>Frozen for Gate 5.2 candidate</x:v>
      </x:c>
    </x:row>
    <x:row r="33">
      <x:c r="A33" s="73" t="str">
        <x:v>CMP-029</x:v>
      </x:c>
      <x:c r="B33" s="23" t="str">
        <x:v>ProjectPicker</x:v>
      </x:c>
      <x:c r="C33" s="23" t="str">
        <x:v>Task/Domain/ProjectPicker</x:v>
      </x:c>
      <x:c r="D33" s="23" t="str">
        <x:v>05 Domain Components</x:v>
      </x:c>
      <x:c r="E33" s="23" t="str">
        <x:v>P1</x:v>
      </x:c>
      <x:c r="F33" s="23" t="n">
        <x:v>23</x:v>
      </x:c>
      <x:c r="G33" s="23" t="str">
        <x:v>SCR-012; SCR-013; SCR-014; SCR-021; SCR-040; SCR-045; SCR-060; SCR-061; SCR-062; SCR-063; SCR-064; SCR-065; SCR-066; SCR-067; SCR-068; SCR-069; SCR-070; SCR-071; SCR-072; SCR-088; SCR-118; SCR-135; SCR-177</x:v>
      </x:c>
      <x:c r="H33" s="23" t="n">
        <x:v>10</x:v>
      </x:c>
      <x:c r="I33" s="23" t="str">
        <x:v>loading | results | selected | unavailable</x:v>
      </x:c>
      <x:c r="J33" s="23" t="str"/>
      <x:c r="K33" s="23" t="str">
        <x:v>NFR-002; NFR-003; NFR-004; NFR-005</x:v>
      </x:c>
      <x:c r="L33" s="23" t="str">
        <x:v>Selects an authorized project and handles removed or unavailable targets without disclosure.</x:v>
      </x:c>
      <x:c r="M33" s="23" t="str">
        <x:v>Current server capability and object version remain authoritative.</x:v>
      </x:c>
      <x:c r="N33" s="23" t="str">
        <x:v>Prototype-verified</x:v>
      </x:c>
      <x:c r="O33" s="23" t="str">
        <x:v>work/stage_5_prototype/src/App.jsx#TaskEditorDialog; work/stage_5_prototype/design-qa-stage5-surfaces.md</x:v>
      </x:c>
      <x:c r="P33" s="23" t="str">
        <x:v>Formal library frame, Windows runtime measurements and remaining module variants</x:v>
      </x:c>
      <x:c r="Q33" s="23" t="str">
        <x:v>0.9</x:v>
      </x:c>
      <x:c r="R33" s="26" t="str">
        <x:v>Frozen for Gate 5.2 candidate</x:v>
      </x:c>
    </x:row>
    <x:row r="34">
      <x:c r="A34" s="73" t="str">
        <x:v>CMP-030</x:v>
      </x:c>
      <x:c r="B34" s="23" t="str">
        <x:v>FilterBar</x:v>
      </x:c>
      <x:c r="C34" s="23" t="str">
        <x:v>Task/Pattern/FilterBar</x:v>
      </x:c>
      <x:c r="D34" s="23" t="str">
        <x:v>06 Patterns</x:v>
      </x:c>
      <x:c r="E34" s="23" t="str">
        <x:v>P1</x:v>
      </x:c>
      <x:c r="F34" s="23" t="n">
        <x:v>22</x:v>
      </x:c>
      <x:c r="G34" s="23" t="str">
        <x:v>SCR-005; SCR-010; SCR-011; SCR-012; SCR-020; SCR-021; SCR-040; SCR-042; SCR-045; SCR-060; SCR-110; SCR-116; SCR-130; SCR-133; SCR-134; SCR-135; SCR-136; SCR-140; SCR-171; SCR-180; SCR-181; SCR-186</x:v>
      </x:c>
      <x:c r="H34" s="23" t="n">
        <x:v>15</x:v>
      </x:c>
      <x:c r="I34" s="23" t="str">
        <x:v>empty | active | invalid | narrow</x:v>
      </x:c>
      <x:c r="J34" s="23" t="str"/>
      <x:c r="K34" s="23" t="str">
        <x:v>NFR-002; NFR-003; NFR-004; NFR-005; NFR-008; NFR-025</x:v>
      </x:c>
      <x:c r="L34" s="23" t="str">
        <x:v>Applies, clears and summarizes filters while preserving a deterministic filtered-empty recovery.</x:v>
      </x:c>
      <x:c r="M34" s="23" t="str">
        <x:v>Preserve accessible name, focus context and user input when the operation cannot complete.</x:v>
      </x:c>
      <x:c r="N34" s="23" t="str">
        <x:v>Prototype-verified</x:v>
      </x:c>
      <x:c r="O34" s="23" t="str">
        <x:v>work/stage_5_prototype/src/App.jsx#TasksSurface/SearchOverlay; work/stage_5_prototype/implementation-direction2-tasks-final.png</x:v>
      </x:c>
      <x:c r="P34" s="23" t="str">
        <x:v>Formal library frame, Windows runtime measurements and remaining module variants</x:v>
      </x:c>
      <x:c r="Q34" s="23" t="str">
        <x:v>0.9</x:v>
      </x:c>
      <x:c r="R34" s="26" t="str">
        <x:v>Frozen for Gate 5.2 candidate</x:v>
      </x:c>
    </x:row>
    <x:row r="35">
      <x:c r="A35" s="73" t="str">
        <x:v>CMP-031</x:v>
      </x:c>
      <x:c r="B35" s="23" t="str">
        <x:v>ReminderEditor</x:v>
      </x:c>
      <x:c r="C35" s="23" t="str">
        <x:v>Task/Domain/ReminderEditor</x:v>
      </x:c>
      <x:c r="D35" s="23" t="str">
        <x:v>05 Domain Components</x:v>
      </x:c>
      <x:c r="E35" s="23" t="str">
        <x:v>P1</x:v>
      </x:c>
      <x:c r="F35" s="23" t="n">
        <x:v>22</x:v>
      </x:c>
      <x:c r="G35" s="23" t="str">
        <x:v>SCR-010; SCR-011; SCR-020; SCR-021; SCR-022; SCR-023; SCR-024; SCR-025; SCR-026; SCR-027; SCR-028; SCR-029; SCR-030; SCR-031; SCR-032; SCR-033; SCR-034; SCR-035; SCR-036; SCR-130; SCR-131; SCR-132</x:v>
      </x:c>
      <x:c r="H35" s="23" t="n">
        <x:v>16</x:v>
      </x:c>
      <x:c r="I35" s="23" t="str">
        <x:v>none | scheduled | invalid | disabled</x:v>
      </x:c>
      <x:c r="J35" s="23" t="str"/>
      <x:c r="K35" s="23" t="str">
        <x:v>NFR-002; NFR-003; NFR-004; NFR-005</x:v>
      </x:c>
      <x:c r="L35" s="23" t="str">
        <x:v>Creates, edits or removes reminder timing with validation and target-availability recheck.</x:v>
      </x:c>
      <x:c r="M35" s="23" t="str">
        <x:v>Current server capability and object version remain authoritative.</x:v>
      </x:c>
      <x:c r="N35" s="23" t="str">
        <x:v>Prototype-verified</x:v>
      </x:c>
      <x:c r="O35" s="23" t="str">
        <x:v>work/stage_5_prototype/src/App.jsx#TaskEditorDialog; work/stage_5_prototype/implementation-direction2-task-scheduling-lower.png</x:v>
      </x:c>
      <x:c r="P35" s="23" t="str">
        <x:v>Formal library frame, Windows runtime measurements and remaining module variants</x:v>
      </x:c>
      <x:c r="Q35" s="23" t="str">
        <x:v>0.9</x:v>
      </x:c>
      <x:c r="R35" s="26" t="str">
        <x:v>Frozen for Gate 5.2 candidate</x:v>
      </x:c>
    </x:row>
    <x:row r="36">
      <x:c r="A36" s="73" t="str">
        <x:v>CMP-032</x:v>
      </x:c>
      <x:c r="B36" s="23" t="str">
        <x:v>FileLocationView</x:v>
      </x:c>
      <x:c r="C36" s="23" t="str">
        <x:v>Task/Domain/FileLocationView</x:v>
      </x:c>
      <x:c r="D36" s="23" t="str">
        <x:v>05 Domain Components</x:v>
      </x:c>
      <x:c r="E36" s="23" t="str">
        <x:v>P1</x:v>
      </x:c>
      <x:c r="F36" s="23" t="n">
        <x:v>21</x:v>
      </x:c>
      <x:c r="G36" s="23" t="str">
        <x:v>SCR-004; SCR-021; SCR-024; SCR-065; SCR-080; SCR-081; SCR-082; SCR-083; SCR-084; SCR-085; SCR-086; SCR-087; SCR-088; SCR-089; SCR-090; SCR-118; SCR-135; SCR-151; SCR-172; SCR-173; SCR-210</x:v>
      </x:c>
      <x:c r="H36" s="23" t="n">
        <x:v>25</x:v>
      </x:c>
      <x:c r="I36" s="23" t="str">
        <x:v>available | unavailable | forbidden | diagnostics</x:v>
      </x:c>
      <x:c r="J36" s="23" t="str">
        <x:v>ObjectUnavailable; Forbidden; ServerUnavailable</x:v>
      </x:c>
      <x:c r="K36" s="23" t="str">
        <x:v>NFR-002; NFR-003; NFR-004; NFR-005; NFR-018; NFR-019; NFR-020</x:v>
      </x:c>
      <x:c r="L36" s="23" t="str">
        <x:v>Shows verified file locations and separates unavailable, forbidden and diagnostic outcomes.</x:v>
      </x:c>
      <x:c r="M36" s="23" t="str">
        <x:v>Current server capability and object version remain authoritative.</x:v>
      </x:c>
      <x:c r="N36" s="23" t="str">
        <x:v>Prototype-verified</x:v>
      </x:c>
      <x:c r="O36" s="23" t="str">
        <x:v>work/stage_5_prototype/src/App.jsx#task-details-file-location-view; work/stage_5_prototype/edge-file-location-unavailable.png</x:v>
      </x:c>
      <x:c r="P36" s="23" t="str">
        <x:v>Formal library frame, Windows runtime measurements and remaining module variants</x:v>
      </x:c>
      <x:c r="Q36" s="23" t="str">
        <x:v>0.9</x:v>
      </x:c>
      <x:c r="R36" s="26" t="str">
        <x:v>Frozen for Gate 5.2 candidate</x:v>
      </x:c>
    </x:row>
    <x:row r="37">
      <x:c r="A37" s="73" t="str">
        <x:v>CMP-033</x:v>
      </x:c>
      <x:c r="B37" s="23" t="str">
        <x:v>RecurrenceEditor</x:v>
      </x:c>
      <x:c r="C37" s="23" t="str">
        <x:v>Task/Domain/RecurrenceEditor</x:v>
      </x:c>
      <x:c r="D37" s="23" t="str">
        <x:v>05 Domain Components</x:v>
      </x:c>
      <x:c r="E37" s="23" t="str">
        <x:v>P1</x:v>
      </x:c>
      <x:c r="F37" s="23" t="n">
        <x:v>19</x:v>
      </x:c>
      <x:c r="G37" s="23" t="str">
        <x:v>SCR-003; SCR-006; SCR-020; SCR-021; SCR-022; SCR-023; SCR-024; SCR-025; SCR-026; SCR-027; SCR-028; SCR-029; SCR-030; SCR-031; SCR-032; SCR-033; SCR-034; SCR-035; SCR-036</x:v>
      </x:c>
      <x:c r="H37" s="23" t="n">
        <x:v>19</x:v>
      </x:c>
      <x:c r="I37" s="23" t="str">
        <x:v>none | rule | exception | invalid</x:v>
      </x:c>
      <x:c r="J37" s="23" t="str"/>
      <x:c r="K37" s="23" t="str">
        <x:v>NFR-002; NFR-003; NFR-004; NFR-005; NFR-007</x:v>
      </x:c>
      <x:c r="L37" s="23" t="str">
        <x:v>Builds recurrence rules, exceptions and termination with preview and DST/conflict validation.</x:v>
      </x:c>
      <x:c r="M37" s="23" t="str">
        <x:v>Current server capability and object version remain authoritative.</x:v>
      </x:c>
      <x:c r="N37" s="23" t="str">
        <x:v>Prototype-verified</x:v>
      </x:c>
      <x:c r="O37" s="23" t="str">
        <x:v>work/stage_5_prototype/src/App.jsx#TaskEditorDialog; work/stage_5_prototype/implementation-direction2-task-scheduling-lower.png</x:v>
      </x:c>
      <x:c r="P37" s="23" t="str">
        <x:v>Formal library frame, Windows runtime measurements and remaining module variants</x:v>
      </x:c>
      <x:c r="Q37" s="23" t="str">
        <x:v>0.9</x:v>
      </x:c>
      <x:c r="R37" s="26" t="str">
        <x:v>Frozen for Gate 5.2 candidate</x:v>
      </x:c>
    </x:row>
    <x:row r="38">
      <x:c r="A38" s="73" t="str">
        <x:v>CMP-034</x:v>
      </x:c>
      <x:c r="B38" s="23" t="str">
        <x:v>ProgressIndicator</x:v>
      </x:c>
      <x:c r="C38" s="23" t="str">
        <x:v>Task/State/ProgressIndicator</x:v>
      </x:c>
      <x:c r="D38" s="23" t="str">
        <x:v>04 State Components</x:v>
      </x:c>
      <x:c r="E38" s="23" t="str">
        <x:v>P1</x:v>
      </x:c>
      <x:c r="F38" s="23" t="n">
        <x:v>18</x:v>
      </x:c>
      <x:c r="G38" s="23" t="str">
        <x:v>SCR-001; SCR-002; SCR-003; SCR-010; SCR-020; SCR-024; SCR-027; SCR-035; SCR-040; SCR-061; SCR-080; SCR-133; SCR-134; SCR-160; SCR-186; SCR-200; SCR-206; SCR-209</x:v>
      </x:c>
      <x:c r="H38" s="23" t="n">
        <x:v>24</x:v>
      </x:c>
      <x:c r="I38" s="23" t="str">
        <x:v>determinate | indeterminate | paused | failed</x:v>
      </x:c>
      <x:c r="J38" s="23" t="str"/>
      <x:c r="K38" s="23" t="str">
        <x:v>NFR-002; NFR-003; NFR-004; NFR-005</x:v>
      </x:c>
      <x:c r="L38" s="23" t="str">
        <x:v>Communicates determinate, indeterminate, paused or failed progress with a text equivalent.</x:v>
      </x:c>
      <x:c r="M38" s="23" t="str">
        <x:v>Never rely on color alone; state text and a safe recovery consequence are required.</x:v>
      </x:c>
      <x:c r="N38" s="23" t="str">
        <x:v>Prototype-verified</x:v>
      </x:c>
      <x:c r="O38" s="23" t="str">
        <x:v>work/stage_5_prototype/src/App.jsx#AuthSurface/ProjectsSurface; work/stage_5_prototype/edge-bootstrap-repeated-failure.png</x:v>
      </x:c>
      <x:c r="P38" s="23" t="str">
        <x:v>Formal library frame, Windows runtime measurements and remaining module variants</x:v>
      </x:c>
      <x:c r="Q38" s="23" t="str">
        <x:v>0.9</x:v>
      </x:c>
      <x:c r="R38" s="26" t="str">
        <x:v>Frozen for Gate 5.2 candidate</x:v>
      </x:c>
    </x:row>
    <x:row r="39">
      <x:c r="A39" s="73" t="str">
        <x:v>CMP-035</x:v>
      </x:c>
      <x:c r="B39" s="23" t="str">
        <x:v>LifecycleBanner</x:v>
      </x:c>
      <x:c r="C39" s="23" t="str">
        <x:v>Task/State/LifecycleBanner</x:v>
      </x:c>
      <x:c r="D39" s="23" t="str">
        <x:v>04 State Components</x:v>
      </x:c>
      <x:c r="E39" s="23" t="str">
        <x:v>P1</x:v>
      </x:c>
      <x:c r="F39" s="23" t="n">
        <x:v>15</x:v>
      </x:c>
      <x:c r="G39" s="23" t="str">
        <x:v>SCR-023; SCR-024; SCR-032; SCR-034; SCR-044; SCR-061; SCR-062; SCR-072; SCR-081; SCR-089; SCR-111; SCR-113; SCR-119; SCR-140; SCR-141</x:v>
      </x:c>
      <x:c r="H39" s="23" t="n">
        <x:v>23</x:v>
      </x:c>
      <x:c r="I39" s="23" t="str">
        <x:v>active | completed | archived | trashed</x:v>
      </x:c>
      <x:c r="J39" s="23" t="str">
        <x:v>Archived; Trashed</x:v>
      </x:c>
      <x:c r="K39" s="23" t="str">
        <x:v>NFR-002; NFR-003; NFR-004; NFR-005</x:v>
      </x:c>
      <x:c r="L39" s="23" t="str">
        <x:v>Explains active/completed/archived/trashed lifecycle and the actions still allowed.</x:v>
      </x:c>
      <x:c r="M39" s="23" t="str">
        <x:v>Never rely on color alone; state text and a safe recovery consequence are required.</x:v>
      </x:c>
      <x:c r="N39" s="23" t="str">
        <x:v>Prototype-verified</x:v>
      </x:c>
      <x:c r="O39" s="23" t="str">
        <x:v>work/stage_5_prototype/src/App.jsx#ProjectsSurface; work/stage_5_prototype/implementation-direction2-project-history.png</x:v>
      </x:c>
      <x:c r="P39" s="23" t="str">
        <x:v>Formal library frame, Windows runtime measurements and remaining module variants</x:v>
      </x:c>
      <x:c r="Q39" s="23" t="str">
        <x:v>0.9</x:v>
      </x:c>
      <x:c r="R39" s="26" t="str">
        <x:v>Frozen for Gate 5.2 candidate</x:v>
      </x:c>
    </x:row>
    <x:row r="40">
      <x:c r="A40" s="73" t="str">
        <x:v>CMP-036</x:v>
      </x:c>
      <x:c r="B40" s="23" t="str">
        <x:v>NotificationItem</x:v>
      </x:c>
      <x:c r="C40" s="23" t="str">
        <x:v>Task/Domain/NotificationItem</x:v>
      </x:c>
      <x:c r="D40" s="23" t="str">
        <x:v>05 Domain Components</x:v>
      </x:c>
      <x:c r="E40" s="23" t="str">
        <x:v>P1</x:v>
      </x:c>
      <x:c r="F40" s="23" t="n">
        <x:v>15</x:v>
      </x:c>
      <x:c r="G40" s="23" t="str">
        <x:v>SCR-130; SCR-131; SCR-132; SCR-150; SCR-151; SCR-152; SCR-153; SCR-154; SCR-155; SCR-156; SCR-157; SCR-158; SCR-159; SCR-161; SCR-212</x:v>
      </x:c>
      <x:c r="H40" s="23" t="n">
        <x:v>3</x:v>
      </x:c>
      <x:c r="I40" s="23" t="str">
        <x:v>unread | read | unavailable-target | action-failed</x:v>
      </x:c>
      <x:c r="J40" s="23" t="str"/>
      <x:c r="K40" s="23" t="str">
        <x:v>NFR-002; NFR-003; NFR-004; NFR-005; NFR-024</x:v>
      </x:c>
      <x:c r="L40" s="23" t="str">
        <x:v>Shows unread/read notification context and rechecks the target before applying an action.</x:v>
      </x:c>
      <x:c r="M40" s="23" t="str">
        <x:v>Recheck target/version/capability before action; changed targets show current state and no false success.</x:v>
      </x:c>
      <x:c r="N40" s="23" t="str">
        <x:v>Prototype-verified</x:v>
      </x:c>
      <x:c r="O40" s="23" t="str">
        <x:v>work/stage_5_prototype/src/App.jsx#NotificationCenter; work/stage_5_prototype/edge-notification-target-changed.png</x:v>
      </x:c>
      <x:c r="P40" s="23" t="str">
        <x:v>Formal library frame, Windows runtime measurements and remaining module variants</x:v>
      </x:c>
      <x:c r="Q40" s="23" t="str">
        <x:v>0.9</x:v>
      </x:c>
      <x:c r="R40" s="26" t="str">
        <x:v>Frozen for Gate 5.2 candidate</x:v>
      </x:c>
    </x:row>
    <x:row r="41">
      <x:c r="A41" s="73" t="str">
        <x:v>CMP-037</x:v>
      </x:c>
      <x:c r="B41" s="23" t="str">
        <x:v>SearchBox</x:v>
      </x:c>
      <x:c r="C41" s="23" t="str">
        <x:v>Task/Core/SearchBox</x:v>
      </x:c>
      <x:c r="D41" s="23" t="str">
        <x:v>03 Core Components</x:v>
      </x:c>
      <x:c r="E41" s="23" t="str">
        <x:v>P1</x:v>
      </x:c>
      <x:c r="F41" s="23" t="n">
        <x:v>15</x:v>
      </x:c>
      <x:c r="G41" s="23" t="str">
        <x:v>SCR-004; SCR-020; SCR-024; SCR-029; SCR-061; SCR-081; SCR-110; SCR-111; SCR-113; SCR-133; SCR-134; SCR-135; SCR-136; SCR-186; SCR-200</x:v>
      </x:c>
      <x:c r="H41" s="23" t="n">
        <x:v>26</x:v>
      </x:c>
      <x:c r="I41" s="23" t="str">
        <x:v>idle | typing | loading | results | no-results</x:v>
      </x:c>
      <x:c r="J41" s="23" t="str">
        <x:v>Loading; Empty; FilteredEmpty; PartialAccess</x:v>
      </x:c>
      <x:c r="K41" s="23" t="str">
        <x:v>NFR-002; NFR-003; NFR-004; NFR-005; NFR-008; NFR-023; NFR-025</x:v>
      </x:c>
      <x:c r="L41" s="23" t="str">
        <x:v>Provides labelled query input, loading/results/no-results feedback and keyboard selection.</x:v>
      </x:c>
      <x:c r="M41" s="23" t="str">
        <x:v>Preserve accessible name, focus context and user input when the operation cannot complete.</x:v>
      </x:c>
      <x:c r="N41" s="23" t="str">
        <x:v>Prototype-verified</x:v>
      </x:c>
      <x:c r="O41" s="23" t="str">
        <x:v>work/stage_5_prototype/src/App.jsx; work/stage_5_prototype/src/styles.css; work/stage_5_prototype/design-qa-stage5-surfaces.md</x:v>
      </x:c>
      <x:c r="P41" s="23" t="str">
        <x:v>Formal library frame, Windows runtime measurements and remaining module variants</x:v>
      </x:c>
      <x:c r="Q41" s="23" t="str">
        <x:v>0.9</x:v>
      </x:c>
      <x:c r="R41" s="26" t="str">
        <x:v>Frozen for Gate 5.2 candidate</x:v>
      </x:c>
    </x:row>
    <x:row r="42">
      <x:c r="A42" s="73" t="str">
        <x:v>CMP-038</x:v>
      </x:c>
      <x:c r="B42" s="23" t="str">
        <x:v>RedactionMarker</x:v>
      </x:c>
      <x:c r="C42" s="23" t="str">
        <x:v>Task/State/RedactionMarker</x:v>
      </x:c>
      <x:c r="D42" s="23" t="str">
        <x:v>04 State Components</x:v>
      </x:c>
      <x:c r="E42" s="23" t="str">
        <x:v>P1</x:v>
      </x:c>
      <x:c r="F42" s="23" t="n">
        <x:v>10</x:v>
      </x:c>
      <x:c r="G42" s="23" t="str">
        <x:v>SCR-036; SCR-066; SCR-068; SCR-090; SCR-115; SCR-118; SCR-133; SCR-134; SCR-186; SCR-201</x:v>
      </x:c>
      <x:c r="H42" s="23" t="n">
        <x:v>6</x:v>
      </x:c>
      <x:c r="I42" s="23" t="str">
        <x:v>partial-access | unavailable | anonymized</x:v>
      </x:c>
      <x:c r="J42" s="23" t="str">
        <x:v>PartialAccess; ObjectUnavailable</x:v>
      </x:c>
      <x:c r="K42" s="23" t="str">
        <x:v>NFR-002; NFR-003; NFR-004; NFR-005</x:v>
      </x:c>
      <x:c r="L42" s="23" t="str">
        <x:v>Explains partial or unavailable access without revealing protected identity or object data.</x:v>
      </x:c>
      <x:c r="M42" s="23" t="str">
        <x:v>Server authorization is authoritative; hidden targets must not be disclosed.</x:v>
      </x:c>
      <x:c r="N42" s="23" t="str">
        <x:v>Prototype-verified</x:v>
      </x:c>
      <x:c r="O42" s="23" t="str">
        <x:v>work/stage_5_prototype/src/App.jsx; work/stage_5_prototype/src/styles.css; work/stage_5_prototype/design-qa-stage5-surfaces.md</x:v>
      </x:c>
      <x:c r="P42" s="23" t="str">
        <x:v>Formal library frame, Windows runtime measurements and remaining module variants</x:v>
      </x:c>
      <x:c r="Q42" s="23" t="str">
        <x:v>0.9</x:v>
      </x:c>
      <x:c r="R42" s="26" t="str">
        <x:v>Frozen for Gate 5.2 candidate</x:v>
      </x:c>
    </x:row>
    <x:row r="43">
      <x:c r="A43" s="73" t="str">
        <x:v>CMP-039</x:v>
      </x:c>
      <x:c r="B43" s="23" t="str">
        <x:v>Pagination</x:v>
      </x:c>
      <x:c r="C43" s="23" t="str">
        <x:v>Task/Pattern/Pagination</x:v>
      </x:c>
      <x:c r="D43" s="23" t="str">
        <x:v>06 Patterns</x:v>
      </x:c>
      <x:c r="E43" s="23" t="str">
        <x:v>P1</x:v>
      </x:c>
      <x:c r="F43" s="23" t="n">
        <x:v>7</x:v>
      </x:c>
      <x:c r="G43" s="23" t="str">
        <x:v>SCR-003; SCR-133; SCR-134; SCR-135; SCR-156; SCR-160; SCR-206</x:v>
      </x:c>
      <x:c r="H43" s="23" t="n">
        <x:v>6</x:v>
      </x:c>
      <x:c r="I43" s="23" t="str">
        <x:v>first | middle | last | loading</x:v>
      </x:c>
      <x:c r="J43" s="23" t="str"/>
      <x:c r="K43" s="23" t="str">
        <x:v>NFR-002; NFR-003; NFR-004; NFR-005; NFR-006; NFR-023; NFR-025</x:v>
      </x:c>
      <x:c r="L43" s="23" t="str">
        <x:v>Moves through stable result pages, exposes current page and disables impossible directions.</x:v>
      </x:c>
      <x:c r="M43" s="23" t="str">
        <x:v>Preserve accessible name, focus context and user input when the operation cannot complete.</x:v>
      </x:c>
      <x:c r="N43" s="23" t="str">
        <x:v>Prototype-verified</x:v>
      </x:c>
      <x:c r="O43" s="23" t="str">
        <x:v>work/stage_5_prototype/src/App.jsx#TasksSurface; work/stage_5_prototype/implementation-direction2-tasks-final.png</x:v>
      </x:c>
      <x:c r="P43" s="23" t="str">
        <x:v>Formal library frame, Windows runtime measurements and remaining module variants</x:v>
      </x:c>
      <x:c r="Q43" s="23" t="str">
        <x:v>0.9</x:v>
      </x:c>
      <x:c r="R43" s="26" t="str">
        <x:v>Frozen for Gate 5.2 candidate</x:v>
      </x:c>
    </x:row>
    <x:row r="44">
      <x:c r="A44" s="73" t="str">
        <x:v>CMP-040</x:v>
      </x:c>
      <x:c r="B44" s="23" t="str">
        <x:v>PopoverSurface</x:v>
      </x:c>
      <x:c r="C44" s="23" t="str">
        <x:v>Task/Pattern/PopoverSurface</x:v>
      </x:c>
      <x:c r="D44" s="23" t="str">
        <x:v>06 Patterns</x:v>
      </x:c>
      <x:c r="E44" s="23" t="str">
        <x:v>P1</x:v>
      </x:c>
      <x:c r="F44" s="23" t="n">
        <x:v>7</x:v>
      </x:c>
      <x:c r="G44" s="23" t="str">
        <x:v>SCR-005; SCR-008; SCR-022; SCR-133; SCR-160; SCR-204; SCR-206</x:v>
      </x:c>
      <x:c r="H44" s="23" t="n">
        <x:v>6</x:v>
      </x:c>
      <x:c r="I44" s="23" t="str">
        <x:v>open | loading | error | closing</x:v>
      </x:c>
      <x:c r="J44" s="23" t="str"/>
      <x:c r="K44" s="23" t="str">
        <x:v>NFR-002; NFR-003; NFR-004; NFR-005</x:v>
      </x:c>
      <x:c r="L44" s="23" t="str">
        <x:v>Anchors a non-blocking surface, supports Escape/outside dismissal and returns focus to its invoker.</x:v>
      </x:c>
      <x:c r="M44" s="23" t="str">
        <x:v>Preserve accessible name, focus context and user input when the operation cannot complete.</x:v>
      </x:c>
      <x:c r="N44" s="23" t="str">
        <x:v>Prototype-verified</x:v>
      </x:c>
      <x:c r="O44" s="23" t="str">
        <x:v>work/stage_5_prototype/src/App.jsx#NotificationCenter/ProfileMenu; work/stage_5_prototype/edge-notification-target-changed.png</x:v>
      </x:c>
      <x:c r="P44" s="23" t="str">
        <x:v>Formal library frame, Windows runtime measurements and remaining module variants</x:v>
      </x:c>
      <x:c r="Q44" s="23" t="str">
        <x:v>0.9</x:v>
      </x:c>
      <x:c r="R44" s="26" t="str">
        <x:v>Frozen for Gate 5.2 candidate</x:v>
      </x:c>
    </x:row>
    <x:row r="45">
      <x:c r="A45" s="73" t="str">
        <x:v>CMP-041</x:v>
      </x:c>
      <x:c r="B45" s="23" t="str">
        <x:v>ContextMenu</x:v>
      </x:c>
      <x:c r="C45" s="23" t="str">
        <x:v>Task/Pattern/ContextMenu</x:v>
      </x:c>
      <x:c r="D45" s="23" t="str">
        <x:v>06 Patterns</x:v>
      </x:c>
      <x:c r="E45" s="23" t="str">
        <x:v>P1</x:v>
      </x:c>
      <x:c r="F45" s="23" t="n">
        <x:v>6</x:v>
      </x:c>
      <x:c r="G45" s="23" t="str">
        <x:v>SCR-014; SCR-034; SCR-072; SCR-089; SCR-119; SCR-207</x:v>
      </x:c>
      <x:c r="H45" s="23" t="n">
        <x:v>6</x:v>
      </x:c>
      <x:c r="I45" s="23" t="str">
        <x:v>available | capability-filtered | disabled-with-reason</x:v>
      </x:c>
      <x:c r="J45" s="23" t="str"/>
      <x:c r="K45" s="23" t="str">
        <x:v>NFR-002; NFR-003; NFR-004; NFR-005</x:v>
      </x:c>
      <x:c r="L45" s="23" t="str">
        <x:v>Shows only capability-safe contextual actions and provides disabled reasons when disclosure is allowed.</x:v>
      </x:c>
      <x:c r="M45" s="23" t="str">
        <x:v>Preserve accessible name, focus context and user input when the operation cannot complete.</x:v>
      </x:c>
      <x:c r="N45" s="23" t="str">
        <x:v>Prototype-verified</x:v>
      </x:c>
      <x:c r="O45" s="23" t="str">
        <x:v>work/stage_5_prototype/src/App.jsx#TasksSurface; work/stage_5_prototype/design-qa-stage5-component-gaps.md</x:v>
      </x:c>
      <x:c r="P45" s="23" t="str">
        <x:v>Formal library frame, Windows runtime measurements and remaining module variants</x:v>
      </x:c>
      <x:c r="Q45" s="23" t="str">
        <x:v>0.9</x:v>
      </x:c>
      <x:c r="R45" s="26" t="str">
        <x:v>Frozen for Gate 5.2 candidate</x:v>
      </x:c>
    </x:row>
    <x:row r="46">
      <x:c r="A46" s="73" t="str">
        <x:v>CMP-042</x:v>
      </x:c>
      <x:c r="B46" s="23" t="str">
        <x:v>BulkResultSummary</x:v>
      </x:c>
      <x:c r="C46" s="23" t="str">
        <x:v>Task/State/BulkResultSummary</x:v>
      </x:c>
      <x:c r="D46" s="23" t="str">
        <x:v>04 State Components</x:v>
      </x:c>
      <x:c r="E46" s="23" t="str">
        <x:v>P2</x:v>
      </x:c>
      <x:c r="F46" s="23" t="n">
        <x:v>4</x:v>
      </x:c>
      <x:c r="G46" s="23" t="str">
        <x:v>SCR-012; SCR-031; SCR-062; SCR-213</x:v>
      </x:c>
      <x:c r="H46" s="23" t="n">
        <x:v>2</x:v>
      </x:c>
      <x:c r="I46" s="23" t="str">
        <x:v>success | partial | failed | retryable</x:v>
      </x:c>
      <x:c r="J46" s="23" t="str">
        <x:v>ObjectUnavailable</x:v>
      </x:c>
      <x:c r="K46" s="23" t="str">
        <x:v>NFR-002; NFR-003; NFR-004; NFR-005; NFR-025</x:v>
      </x:c>
      <x:c r="L46" s="23" t="str">
        <x:v>Summarizes successful, failed and retryable batch outcomes without hiding partial failure.</x:v>
      </x:c>
      <x:c r="M46" s="23" t="str">
        <x:v>Never rely on color alone; state text and a safe recovery consequence are required.</x:v>
      </x:c>
      <x:c r="N46" s="23" t="str">
        <x:v>Prototype-verified</x:v>
      </x:c>
      <x:c r="O46" s="23" t="str">
        <x:v>work/stage_5_prototype/src/App.jsx#TasksSurface; work/stage_5_prototype/implementation-direction2-bulk-actions.png</x:v>
      </x:c>
      <x:c r="P46" s="23" t="str">
        <x:v>Formal library frame, Windows runtime measurements and remaining module variants</x:v>
      </x:c>
      <x:c r="Q46" s="23" t="str">
        <x:v>0.9</x:v>
      </x:c>
      <x:c r="R46" s="26" t="str">
        <x:v>Frozen for Gate 5.2 candidate</x:v>
      </x:c>
    </x:row>
    <x:row r="47">
      <x:c r="A47" s="73" t="str">
        <x:v>CMP-043</x:v>
      </x:c>
      <x:c r="B47" s="23" t="str">
        <x:v>CommentThread</x:v>
      </x:c>
      <x:c r="C47" s="23" t="str">
        <x:v>Task/Domain/CommentThread</x:v>
      </x:c>
      <x:c r="D47" s="23" t="str">
        <x:v>05 Domain Components</x:v>
      </x:c>
      <x:c r="E47" s="23" t="str">
        <x:v>P2</x:v>
      </x:c>
      <x:c r="F47" s="23" t="n">
        <x:v>4</x:v>
      </x:c>
      <x:c r="G47" s="23" t="str">
        <x:v>SCR-024; SCR-035; SCR-067; SCR-202</x:v>
      </x:c>
      <x:c r="H47" s="23" t="n">
        <x:v>10</x:v>
      </x:c>
      <x:c r="I47" s="23" t="str">
        <x:v>loading | content | empty | unavailable</x:v>
      </x:c>
      <x:c r="J47" s="23" t="str"/>
      <x:c r="K47" s="23" t="str">
        <x:v>NFR-002; NFR-003; NFR-004; NFR-005</x:v>
      </x:c>
      <x:c r="L47" s="23" t="str">
        <x:v>Displays authorized comments, empty/loading states and safe unavailable behavior.</x:v>
      </x:c>
      <x:c r="M47" s="23" t="str">
        <x:v>Current server capability and object version remain authoritative.</x:v>
      </x:c>
      <x:c r="N47" s="23" t="str">
        <x:v>Prototype-verified</x:v>
      </x:c>
      <x:c r="O47" s="23" t="str">
        <x:v>work/stage_5_prototype/src/App.jsx; work/stage_5_prototype/src/styles.css; work/stage_5_prototype/design-qa-stage5-surfaces.md</x:v>
      </x:c>
      <x:c r="P47" s="23" t="str">
        <x:v>Formal library frame, Windows runtime measurements and remaining module variants</x:v>
      </x:c>
      <x:c r="Q47" s="23" t="str">
        <x:v>0.9</x:v>
      </x:c>
      <x:c r="R47" s="26" t="str">
        <x:v>Frozen for Gate 5.2 candidate</x:v>
      </x:c>
    </x:row>
    <x:row r="48">
      <x:c r="A48" s="73" t="str">
        <x:v>CMP-044</x:v>
      </x:c>
      <x:c r="B48" s="23" t="str">
        <x:v>SelectionBar</x:v>
      </x:c>
      <x:c r="C48" s="23" t="str">
        <x:v>Task/Pattern/SelectionBar</x:v>
      </x:c>
      <x:c r="D48" s="23" t="str">
        <x:v>06 Patterns</x:v>
      </x:c>
      <x:c r="E48" s="23" t="str">
        <x:v>P2</x:v>
      </x:c>
      <x:c r="F48" s="23" t="n">
        <x:v>4</x:v>
      </x:c>
      <x:c r="G48" s="23" t="str">
        <x:v>SCR-020; SCR-031; SCR-080; SCR-213</x:v>
      </x:c>
      <x:c r="H48" s="23" t="n">
        <x:v>4</x:v>
      </x:c>
      <x:c r="I48" s="23" t="str">
        <x:v>single | multi | partial-capability | busy</x:v>
      </x:c>
      <x:c r="J48" s="23" t="str"/>
      <x:c r="K48" s="23" t="str">
        <x:v>NFR-002; NFR-003; NFR-004; NFR-005</x:v>
      </x:c>
      <x:c r="L48" s="23" t="str">
        <x:v>Summarizes one/many selected items and exposes only actions valid for the current capability mix.</x:v>
      </x:c>
      <x:c r="M48" s="23" t="str">
        <x:v>Preserve accessible name, focus context and user input when the operation cannot complete.</x:v>
      </x:c>
      <x:c r="N48" s="23" t="str">
        <x:v>Prototype-verified</x:v>
      </x:c>
      <x:c r="O48" s="23" t="str">
        <x:v>work/stage_5_prototype/src/App.jsx#TasksSurface; work/stage_5_prototype/implementation-direction2-bulk-actions.png</x:v>
      </x:c>
      <x:c r="P48" s="23" t="str">
        <x:v>Formal library frame, Windows runtime measurements and remaining module variants</x:v>
      </x:c>
      <x:c r="Q48" s="23" t="str">
        <x:v>0.9</x:v>
      </x:c>
      <x:c r="R48" s="26" t="str">
        <x:v>Frozen for Gate 5.2 candidate</x:v>
      </x:c>
    </x:row>
    <x:row r="49">
      <x:c r="A49" s="74" t="str">
        <x:v>CMP-045</x:v>
      </x:c>
      <x:c r="B49" s="30" t="str">
        <x:v>TreeView</x:v>
      </x:c>
      <x:c r="C49" s="30" t="str">
        <x:v>Task/Pattern/TreeView</x:v>
      </x:c>
      <x:c r="D49" s="30" t="str">
        <x:v>06 Patterns</x:v>
      </x:c>
      <x:c r="E49" s="30" t="str">
        <x:v>P2</x:v>
      </x:c>
      <x:c r="F49" s="30" t="n">
        <x:v>2</x:v>
      </x:c>
      <x:c r="G49" s="30" t="str">
        <x:v>SCR-020; SCR-080</x:v>
      </x:c>
      <x:c r="H49" s="30" t="n">
        <x:v>4</x:v>
      </x:c>
      <x:c r="I49" s="30" t="str">
        <x:v>collapsed | expanded | loading-children | unavailable</x:v>
      </x:c>
      <x:c r="J49" s="30" t="str"/>
      <x:c r="K49" s="30" t="str">
        <x:v>NFR-002; NFR-003; NFR-004; NFR-005</x:v>
      </x:c>
      <x:c r="L49" s="30" t="str">
        <x:v>Presents expandable hierarchy with selected/expanded semantics and safe loading/unavailable children.</x:v>
      </x:c>
      <x:c r="M49" s="30" t="str">
        <x:v>Preserve accessible name, focus context and user input when the operation cannot complete.</x:v>
      </x:c>
      <x:c r="N49" s="30" t="str">
        <x:v>Prototype-verified</x:v>
      </x:c>
      <x:c r="O49" s="30" t="str">
        <x:v>work/stage_5_prototype/src/App.jsx#ProjectsSurface; work/stage_5_prototype/implementation-direction2-projects-final.png</x:v>
      </x:c>
      <x:c r="P49" s="30" t="str">
        <x:v>Formal library frame, Windows runtime measurements and remaining module variants</x:v>
      </x:c>
      <x:c r="Q49" s="30" t="str">
        <x:v>0.9</x:v>
      </x:c>
      <x:c r="R49" s="33" t="str">
        <x:v>Frozen for Gate 5.2 candidate</x:v>
      </x:c>
    </x:row>
  </x:sheetData>
  <x:mergeCells>
    <x:mergeCell ref="A1:R2"/>
    <x:mergeCell ref="A3:R3"/>
  </x:mergeCells>
  <x:conditionalFormatting sqref="N5:N49">
    <x:cfRule type="containsText" dxfId="21" priority="1" operator="containsText" text="Prototype-verified"/>
    <x:cfRule type="containsText" dxfId="22" priority="2" operator="containsText" text="Partially verified"/>
    <x:cfRule type="containsText" dxfId="23" priority="3" operator="containsText" text="Specified"/>
  </x:conditionalFormatting>
  <x:pageMargins left="0.7" right="0.7" top="0.75" bottom="0.75" header="0.3" footer="0.3"/>
  <x:tableParts count="1">
    <x:tablePart xmlns:r="http://schemas.openxmlformats.org/officeDocument/2006/relationships" r:id="Re1acddab45b640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9" hidden="0" customWidth="1"/>
    <x:col min="5" max="5" width="42" hidden="0" customWidth="1"/>
    <x:col min="6" max="6" width="38" hidden="0" customWidth="1"/>
    <x:col min="7" max="7" width="34" hidden="0" customWidth="1"/>
    <x:col min="8" max="8" width="32" hidden="0" customWidth="1"/>
    <x:col min="9" max="9" width="24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20" hidden="0" customWidth="1"/>
    <x:col min="15" max="15" width="42" hidden="0" customWidth="1"/>
    <x:col min="16" max="16" width="42" hidden="0" customWidth="1"/>
    <x:col min="17" max="17" width="12" hidden="0" customWidth="1"/>
  </x:cols>
  <x:sheetData>
    <x:row r="1">
      <x:c r="A1" s="3" t="str">
        <x:v>Stage 5.2 — Implementation Specs 0.9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6" t="str">
        <x:v>Behavior frozen for 45 families. 45 prototype-verified with formal Windows runtime and library-frame verification still pending.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>
      <x:c r="A4" s="17" t="str">
        <x:v>Component ID</x:v>
      </x:c>
      <x:c r="B4" s="18" t="str">
        <x:v>Component</x:v>
      </x:c>
      <x:c r="C4" s="18" t="str">
        <x:v>Library path</x:v>
      </x:c>
      <x:c r="D4" s="18" t="str">
        <x:v>Priority</x:v>
      </x:c>
      <x:c r="E4" s="18" t="str">
        <x:v>Purpose</x:v>
      </x:c>
      <x:c r="F4" s="18" t="str">
        <x:v>Anatomy</x:v>
      </x:c>
      <x:c r="G4" s="18" t="str">
        <x:v>Required variants</x:v>
      </x:c>
      <x:c r="H4" s="18" t="str">
        <x:v>State inputs</x:v>
      </x:c>
      <x:c r="I4" s="18" t="str">
        <x:v>Required NFR</x:v>
      </x:c>
      <x:c r="J4" s="18" t="str">
        <x:v>Keyboard contract</x:v>
      </x:c>
      <x:c r="K4" s="18" t="str">
        <x:v>UIA contract</x:v>
      </x:c>
      <x:c r="L4" s="18" t="str">
        <x:v>Scaling contract</x:v>
      </x:c>
      <x:c r="M4" s="18" t="str">
        <x:v>Failure rule</x:v>
      </x:c>
      <x:c r="N4" s="18" t="str">
        <x:v>Implementation readiness</x:v>
      </x:c>
      <x:c r="O4" s="18" t="str">
        <x:v>Evidence</x:v>
      </x:c>
      <x:c r="P4" s="18" t="str">
        <x:v>Remaining verification</x:v>
      </x:c>
      <x:c r="Q4" s="19" t="str">
        <x:v>Spec version</x:v>
      </x:c>
    </x:row>
    <x:row r="5">
      <x:c r="A5" s="73" t="str">
        <x:v>CMP-001</x:v>
      </x:c>
      <x:c r="B5" s="23" t="str">
        <x:v>SurfaceTitle</x:v>
      </x:c>
      <x:c r="C5" s="23" t="str">
        <x:v>Task/Core/SurfaceTitle</x:v>
      </x:c>
      <x:c r="D5" s="23" t="str">
        <x:v>P0</x:v>
      </x:c>
      <x:c r="E5" s="23" t="str">
        <x:v>Names the current surface and optional context without duplicating the window title.</x:v>
      </x:c>
      <x:c r="F5" s="23" t="str">
        <x:v>Container; visible label/content; semantic icon where applicable; state/validation region; optional safe action</x:v>
      </x:c>
      <x:c r="G5" s="23" t="str">
        <x:v>page | panel | dialog</x:v>
      </x:c>
      <x:c r="H5" s="23" t="str">
        <x:v>Default; hover; focus; pressed; disabled where applicable</x:v>
      </x:c>
      <x:c r="I5" s="23" t="str">
        <x:v>NFR-002; NFR-003; NFR-004; NFR-005</x:v>
      </x:c>
      <x:c r="J5" s="23" t="str">
        <x:v>Native Tab/Shift+Tab order; Enter/Space activation; Escape only for dismissible overlays; arrows for list/tree/menu semantics</x:v>
      </x:c>
      <x:c r="K5" s="23" t="str">
        <x:v>Expose stable name, role, state and value; disabled/read-only/expanded/selected/current states must be programmatic</x:v>
      </x:c>
      <x:c r="L5" s="23" t="str">
        <x:v>No clipped meaning at Windows 200%; long Russian content wraps or truncates with an accessible full value</x:v>
      </x:c>
      <x:c r="M5" s="23" t="str">
        <x:v>Preserve accessible name, focus context and user input when the operation cannot complete.</x:v>
      </x:c>
      <x:c r="N5" s="23" t="str">
        <x:v>Prototype-verified</x:v>
      </x:c>
      <x:c r="O5" s="23" t="str">
        <x:v>work/stage_5_prototype/src/App.jsx; work/stage_5_prototype/src/styles.css; work/stage_5_prototype/design-qa-stage5-surfaces.md</x:v>
      </x:c>
      <x:c r="P5" s="23" t="str">
        <x:v>Formal library frame, Windows runtime measurements and remaining module variants</x:v>
      </x:c>
      <x:c r="Q5" s="26" t="str">
        <x:v>0.9</x:v>
      </x:c>
    </x:row>
    <x:row r="6">
      <x:c r="A6" s="73" t="str">
        <x:v>CMP-002</x:v>
      </x:c>
      <x:c r="B6" s="23" t="str">
        <x:v>PermissionState</x:v>
      </x:c>
      <x:c r="C6" s="23" t="str">
        <x:v>Task/State/PermissionState</x:v>
      </x:c>
      <x:c r="D6" s="23" t="str">
        <x:v>P0</x:v>
      </x:c>
      <x:c r="E6" s="23" t="str">
        <x:v>Translates current server capability into available, disabled-with-reason or non-disclosing unavailable presentation.</x:v>
      </x:c>
      <x:c r="F6" s="23" t="str">
        <x:v>Container; visible label/content; semantic icon where applicable; state/validation region; optional safe action</x:v>
      </x:c>
      <x:c r="G6" s="23" t="str">
        <x:v>available | disabled-with-reason | forbidden-result | unavailable</x:v>
      </x:c>
      <x:c r="H6" s="23" t="str">
        <x:v>Forbidden; ObjectUnavailable; PartialAccess</x:v>
      </x:c>
      <x:c r="I6" s="23" t="str">
        <x:v>NFR-002; NFR-003; NFR-004; NFR-005</x:v>
      </x:c>
      <x:c r="J6" s="23" t="str">
        <x:v>Native Tab/Shift+Tab order; Enter/Space activation; Escape only for dismissible overlays; arrows for list/tree/menu semantics</x:v>
      </x:c>
      <x:c r="K6" s="23" t="str">
        <x:v>Expose stable name, role, state and value; disabled/read-only/expanded/selected/current states must be programmatic</x:v>
      </x:c>
      <x:c r="L6" s="23" t="str">
        <x:v>No clipped meaning at Windows 200%; long Russian content wraps or truncates with an accessible full value</x:v>
      </x:c>
      <x:c r="M6" s="23" t="str">
        <x:v>Server authorization is authoritative; hidden targets must not be disclosed.</x:v>
      </x:c>
      <x:c r="N6" s="23" t="str">
        <x:v>Prototype-verified</x:v>
      </x:c>
      <x:c r="O6" s="23" t="str">
        <x:v>work/stage_5_prototype/src/App.jsx#TasksSurface/ProjectsSurface/FileLocationView; work/stage_5_prototype/design-qa-stage5-component-gaps.md</x:v>
      </x:c>
      <x:c r="P6" s="23" t="str">
        <x:v>Formal library frame, Windows runtime measurements and remaining module variants</x:v>
      </x:c>
      <x:c r="Q6" s="26" t="str">
        <x:v>0.9</x:v>
      </x:c>
    </x:row>
    <x:row r="7">
      <x:c r="A7" s="73" t="str">
        <x:v>CMP-003</x:v>
      </x:c>
      <x:c r="B7" s="23" t="str">
        <x:v>ConnectivityBanner</x:v>
      </x:c>
      <x:c r="C7" s="23" t="str">
        <x:v>Task/State/ConnectivityBanner</x:v>
      </x:c>
      <x:c r="D7" s="23" t="str">
        <x:v>P0</x:v>
      </x:c>
      <x:c r="E7" s="23" t="str">
        <x:v>Explains connectivity, cache freshness and the next safe recovery action.</x:v>
      </x:c>
      <x:c r="F7" s="23" t="str">
        <x:v>Container; visible label/content; semantic icon where applicable; state/validation region; optional safe action</x:v>
      </x:c>
      <x:c r="G7" s="23" t="str">
        <x:v>offline | reconnecting | maintenance | unavailable</x:v>
      </x:c>
      <x:c r="H7" s="23" t="str">
        <x:v>ServerUnavailable; Reconnecting</x:v>
      </x:c>
      <x:c r="I7" s="23" t="str">
        <x:v>NFR-002; NFR-003; NFR-004; NFR-005; NFR-009; NFR-010; NFR-024</x:v>
      </x:c>
      <x:c r="J7" s="23" t="str">
        <x:v>Native Tab/Shift+Tab order; Enter/Space activation; Escape only for dismissible overlays; arrows for list/tree/menu semantics</x:v>
      </x:c>
      <x:c r="K7" s="23" t="str">
        <x:v>Expose stable name, role, state and value; disabled/read-only/expanded/selected/current states must be programmatic</x:v>
      </x:c>
      <x:c r="L7" s="23" t="str">
        <x:v>No clipped meaning at Windows 200%; long Russian content wraps or truncates with an accessible full value</x:v>
      </x:c>
      <x:c r="M7" s="23" t="str">
        <x:v>Retry is bounded and idempotent; writes remain disabled until authoritative readiness.</x:v>
      </x:c>
      <x:c r="N7" s="23" t="str">
        <x:v>Prototype-verified</x:v>
      </x:c>
      <x:c r="O7" s="23" t="str">
        <x:v>work/stage_5_prototype/src/App.jsx; work/stage_5_prototype/src/styles.css; work/stage_5_prototype/design-qa-stage5-surfaces.md</x:v>
      </x:c>
      <x:c r="P7" s="23" t="str">
        <x:v>Formal library frame, Windows runtime measurements and remaining module variants</x:v>
      </x:c>
      <x:c r="Q7" s="26" t="str">
        <x:v>0.9</x:v>
      </x:c>
    </x:row>
    <x:row r="8">
      <x:c r="A8" s="73" t="str">
        <x:v>CMP-004</x:v>
      </x:c>
      <x:c r="B8" s="23" t="str">
        <x:v>FieldLabel</x:v>
      </x:c>
      <x:c r="C8" s="23" t="str">
        <x:v>Task/Core/FieldLabel</x:v>
      </x:c>
      <x:c r="D8" s="23" t="str">
        <x:v>P0</x:v>
      </x:c>
      <x:c r="E8" s="23" t="str">
        <x:v>Binds visible label, required/optional meaning, hint and validation to one control.</x:v>
      </x:c>
      <x:c r="F8" s="23" t="str">
        <x:v>Container; visible label/content; semantic icon where applicable; state/validation region; optional safe action</x:v>
      </x:c>
      <x:c r="G8" s="23" t="str">
        <x:v>normal | required | disabled | error</x:v>
      </x:c>
      <x:c r="H8" s="23" t="str">
        <x:v>Default; hover; focus; pressed; disabled where applicable</x:v>
      </x:c>
      <x:c r="I8" s="23" t="str">
        <x:v>NFR-002; NFR-003; NFR-004; NFR-005</x:v>
      </x:c>
      <x:c r="J8" s="23" t="str">
        <x:v>Native Tab/Shift+Tab order; Enter/Space activation; Escape only for dismissible overlays; arrows for list/tree/menu semantics</x:v>
      </x:c>
      <x:c r="K8" s="23" t="str">
        <x:v>Expose stable name, role, state and value; disabled/read-only/expanded/selected/current states must be programmatic</x:v>
      </x:c>
      <x:c r="L8" s="23" t="str">
        <x:v>No clipped meaning at Windows 200%; long Russian content wraps or truncates with an accessible full value</x:v>
      </x:c>
      <x:c r="M8" s="23" t="str">
        <x:v>Preserve accessible name, focus context and user input when the operation cannot complete.</x:v>
      </x:c>
      <x:c r="N8" s="23" t="str">
        <x:v>Prototype-verified</x:v>
      </x:c>
      <x:c r="O8" s="23" t="str">
        <x:v>work/stage_5_prototype/src/App.jsx; work/stage_5_prototype/src/styles.css; work/stage_5_prototype/design-qa-stage5-surfaces.md</x:v>
      </x:c>
      <x:c r="P8" s="23" t="str">
        <x:v>Formal library frame, Windows runtime measurements and remaining module variants</x:v>
      </x:c>
      <x:c r="Q8" s="26" t="str">
        <x:v>0.9</x:v>
      </x:c>
    </x:row>
    <x:row r="9">
      <x:c r="A9" s="73" t="str">
        <x:v>CMP-005</x:v>
      </x:c>
      <x:c r="B9" s="23" t="str">
        <x:v>FormLayout</x:v>
      </x:c>
      <x:c r="C9" s="23" t="str">
        <x:v>Task/Pattern/FormLayout</x:v>
      </x:c>
      <x:c r="D9" s="23" t="str">
        <x:v>P0</x:v>
      </x:c>
      <x:c r="E9" s="23" t="str">
        <x:v>Orders fields, section boundaries, dirty state and explicit save/cancel actions.</x:v>
      </x:c>
      <x:c r="F9" s="23" t="str">
        <x:v>Container; visible label/content; semantic icon where applicable; state/validation region; optional safe action</x:v>
      </x:c>
      <x:c r="G9" s="23" t="str">
        <x:v>simple | sectioned | dirty | read-only</x:v>
      </x:c>
      <x:c r="H9" s="23" t="str">
        <x:v>Default; hover; focus; pressed; disabled where applicable</x:v>
      </x:c>
      <x:c r="I9" s="23" t="str">
        <x:v>NFR-002; NFR-003; NFR-004; NFR-005</x:v>
      </x:c>
      <x:c r="J9" s="23" t="str">
        <x:v>Native Tab/Shift+Tab order; Enter/Space activation; Escape only for dismissible overlays; arrows for list/tree/menu semantics</x:v>
      </x:c>
      <x:c r="K9" s="23" t="str">
        <x:v>Expose stable name, role, state and value; disabled/read-only/expanded/selected/current states must be programmatic</x:v>
      </x:c>
      <x:c r="L9" s="23" t="str">
        <x:v>No clipped meaning at Windows 200%; long Russian content wraps or truncates with an accessible full value</x:v>
      </x:c>
      <x:c r="M9" s="23" t="str">
        <x:v>Preserve accessible name, focus context and user input when the operation cannot complete.</x:v>
      </x:c>
      <x:c r="N9" s="23" t="str">
        <x:v>Prototype-verified</x:v>
      </x:c>
      <x:c r="O9" s="23" t="str">
        <x:v>work/stage_5_prototype/src/App.jsx; work/stage_5_prototype/src/styles.css; work/stage_5_prototype/design-qa-stage5-surfaces.md</x:v>
      </x:c>
      <x:c r="P9" s="23" t="str">
        <x:v>Formal library frame, Windows runtime measurements and remaining module variants</x:v>
      </x:c>
      <x:c r="Q9" s="26" t="str">
        <x:v>0.9</x:v>
      </x:c>
    </x:row>
    <x:row r="10">
      <x:c r="A10" s="73" t="str">
        <x:v>CMP-006</x:v>
      </x:c>
      <x:c r="B10" s="23" t="str">
        <x:v>ReadOnlyBanner</x:v>
      </x:c>
      <x:c r="C10" s="23" t="str">
        <x:v>Task/State/ReadOnlyBanner</x:v>
      </x:c>
      <x:c r="D10" s="23" t="str">
        <x:v>P0</x:v>
      </x:c>
      <x:c r="E10" s="23" t="str">
        <x:v>Explains why content is read-only, its freshness and which actions remain safe.</x:v>
      </x:c>
      <x:c r="F10" s="23" t="str">
        <x:v>Container; visible label/content; semantic icon where applicable; state/validation region; optional safe action</x:v>
      </x:c>
      <x:c r="G10" s="23" t="str">
        <x:v>offline | archived | trashed | permission</x:v>
      </x:c>
      <x:c r="H10" s="23" t="str">
        <x:v>ServerUnavailable (cached read-only presentation); Archived; Trashed</x:v>
      </x:c>
      <x:c r="I10" s="23" t="str">
        <x:v>NFR-002; NFR-003; NFR-004; NFR-005; NFR-009; NFR-010</x:v>
      </x:c>
      <x:c r="J10" s="23" t="str">
        <x:v>Native Tab/Shift+Tab order; Enter/Space activation; Escape only for dismissible overlays; arrows for list/tree/menu semantics</x:v>
      </x:c>
      <x:c r="K10" s="23" t="str">
        <x:v>Expose stable name, role, state and value; disabled/read-only/expanded/selected/current states must be programmatic</x:v>
      </x:c>
      <x:c r="L10" s="23" t="str">
        <x:v>No clipped meaning at Windows 200%; long Russian content wraps or truncates with an accessible full value</x:v>
      </x:c>
      <x:c r="M10" s="23" t="str">
        <x:v>Never rely on color alone; state text and a safe recovery consequence are required.</x:v>
      </x:c>
      <x:c r="N10" s="23" t="str">
        <x:v>Prototype-verified</x:v>
      </x:c>
      <x:c r="O10" s="23" t="str">
        <x:v>work/stage_5_prototype/src/App.jsx; work/stage_5_prototype/src/styles.css; work/stage_5_prototype/design-qa-stage5-surfaces.md</x:v>
      </x:c>
      <x:c r="P10" s="23" t="str">
        <x:v>Formal library frame, Windows runtime measurements and remaining module variants</x:v>
      </x:c>
      <x:c r="Q10" s="26" t="str">
        <x:v>0.9</x:v>
      </x:c>
    </x:row>
    <x:row r="11">
      <x:c r="A11" s="73" t="str">
        <x:v>CMP-007</x:v>
      </x:c>
      <x:c r="B11" s="23" t="str">
        <x:v>RetryAction</x:v>
      </x:c>
      <x:c r="C11" s="23" t="str">
        <x:v>Task/State/RetryAction</x:v>
      </x:c>
      <x:c r="D11" s="23" t="str">
        <x:v>P0</x:v>
      </x:c>
      <x:c r="E11" s="23" t="str">
        <x:v>Starts only an idempotent recovery check and never implies success before authoritative readiness.</x:v>
      </x:c>
      <x:c r="F11" s="23" t="str">
        <x:v>Container; visible label/content; semantic icon where applicable; state/validation region; optional safe action</x:v>
      </x:c>
      <x:c r="G11" s="23" t="str">
        <x:v>safe-read retry | diagnostics</x:v>
      </x:c>
      <x:c r="H11" s="23" t="str">
        <x:v>Default; hover; focus; pressed; disabled where applicable</x:v>
      </x:c>
      <x:c r="I11" s="23" t="str">
        <x:v>NFR-002; NFR-003; NFR-004; NFR-005; NFR-012; NFR-017</x:v>
      </x:c>
      <x:c r="J11" s="23" t="str">
        <x:v>Native Tab/Shift+Tab order; Enter/Space activation; Escape only for dismissible overlays; arrows for list/tree/menu semantics</x:v>
      </x:c>
      <x:c r="K11" s="23" t="str">
        <x:v>Expose stable name, role, state and value; disabled/read-only/expanded/selected/current states must be programmatic</x:v>
      </x:c>
      <x:c r="L11" s="23" t="str">
        <x:v>No clipped meaning at Windows 200%; long Russian content wraps or truncates with an accessible full value</x:v>
      </x:c>
      <x:c r="M11" s="23" t="str">
        <x:v>Retry is bounded and idempotent; writes remain disabled until authoritative readiness.</x:v>
      </x:c>
      <x:c r="N11" s="23" t="str">
        <x:v>Prototype-verified</x:v>
      </x:c>
      <x:c r="O11" s="23" t="str">
        <x:v>work/stage_5_prototype/src/App.jsx; work/stage_5_prototype/src/styles.css; work/stage_5_prototype/design-qa-stage5-surfaces.md</x:v>
      </x:c>
      <x:c r="P11" s="23" t="str">
        <x:v>Formal library frame, Windows runtime measurements and remaining module variants</x:v>
      </x:c>
      <x:c r="Q11" s="26" t="str">
        <x:v>0.9</x:v>
      </x:c>
    </x:row>
    <x:row r="12">
      <x:c r="A12" s="73" t="str">
        <x:v>CMP-008</x:v>
      </x:c>
      <x:c r="B12" s="23" t="str">
        <x:v>ValidationMessage</x:v>
      </x:c>
      <x:c r="C12" s="23" t="str">
        <x:v>Task/State/ValidationMessage</x:v>
      </x:c>
      <x:c r="D12" s="23" t="str">
        <x:v>P0</x:v>
      </x:c>
      <x:c r="E12" s="23" t="str">
        <x:v>Associates a concise error with its field and optionally links from a summary.</x:v>
      </x:c>
      <x:c r="F12" s="23" t="str">
        <x:v>Container; visible label/content; semantic icon where applicable; state/validation region; optional safe action</x:v>
      </x:c>
      <x:c r="G12" s="23" t="str">
        <x:v>inline | summary-linked</x:v>
      </x:c>
      <x:c r="H12" s="23" t="str">
        <x:v>Default; hover; focus; pressed; disabled where applicable</x:v>
      </x:c>
      <x:c r="I12" s="23" t="str">
        <x:v>NFR-002; NFR-003; NFR-004; NFR-005</x:v>
      </x:c>
      <x:c r="J12" s="23" t="str">
        <x:v>Native Tab/Shift+Tab order; Enter/Space activation; Escape only for dismissible overlays; arrows for list/tree/menu semantics</x:v>
      </x:c>
      <x:c r="K12" s="23" t="str">
        <x:v>Expose stable name, role, state and value; disabled/read-only/expanded/selected/current states must be programmatic</x:v>
      </x:c>
      <x:c r="L12" s="23" t="str">
        <x:v>No clipped meaning at Windows 200%; long Russian content wraps or truncates with an accessible full value</x:v>
      </x:c>
      <x:c r="M12" s="23" t="str">
        <x:v>Never rely on color alone; state text and a safe recovery consequence are required.</x:v>
      </x:c>
      <x:c r="N12" s="23" t="str">
        <x:v>Prototype-verified</x:v>
      </x:c>
      <x:c r="O12" s="23" t="str">
        <x:v>work/stage_5_prototype/src/App.jsx; work/stage_5_prototype/src/styles.css; work/stage_5_prototype/design-qa-stage5-surfaces.md</x:v>
      </x:c>
      <x:c r="P12" s="23" t="str">
        <x:v>Formal library frame, Windows runtime measurements and remaining module variants</x:v>
      </x:c>
      <x:c r="Q12" s="26" t="str">
        <x:v>0.9</x:v>
      </x:c>
    </x:row>
    <x:row r="13">
      <x:c r="A13" s="73" t="str">
        <x:v>CMP-009</x:v>
      </x:c>
      <x:c r="B13" s="23" t="str">
        <x:v>PageLayout</x:v>
      </x:c>
      <x:c r="C13" s="23" t="str">
        <x:v>Task/Pattern/PageLayout</x:v>
      </x:c>
      <x:c r="D13" s="23" t="str">
        <x:v>P0</x:v>
      </x:c>
      <x:c r="E13" s="23" t="str">
        <x:v>Composes title, commands, content, state messaging and optional inspector within the desktop shell.</x:v>
      </x:c>
      <x:c r="F13" s="23" t="str">
        <x:v>Container; visible label/content; semantic icon where applicable; state/validation region; optional safe action</x:v>
      </x:c>
      <x:c r="G13" s="23" t="str">
        <x:v>list | list-detail | editor | settings</x:v>
      </x:c>
      <x:c r="H13" s="23" t="str">
        <x:v>Default; hover; focus; pressed; disabled where applicable</x:v>
      </x:c>
      <x:c r="I13" s="23" t="str">
        <x:v>NFR-002; NFR-003; NFR-004; NFR-005</x:v>
      </x:c>
      <x:c r="J13" s="23" t="str">
        <x:v>Native Tab/Shift+Tab order; Enter/Space activation; Escape only for dismissible overlays; arrows for list/tree/menu semantics</x:v>
      </x:c>
      <x:c r="K13" s="23" t="str">
        <x:v>Expose stable name, role, state and value; disabled/read-only/expanded/selected/current states must be programmatic</x:v>
      </x:c>
      <x:c r="L13" s="23" t="str">
        <x:v>No clipped meaning at Windows 200%; long Russian content wraps or truncates with an accessible full value</x:v>
      </x:c>
      <x:c r="M13" s="23" t="str">
        <x:v>Preserve accessible name, focus context and user input when the operation cannot complete.</x:v>
      </x:c>
      <x:c r="N13" s="23" t="str">
        <x:v>Prototype-verified</x:v>
      </x:c>
      <x:c r="O13" s="23" t="str">
        <x:v>work/stage_5_prototype/src/App.jsx; work/stage_5_prototype/src/styles.css; work/stage_5_prototype/design-qa-stage5-surfaces.md</x:v>
      </x:c>
      <x:c r="P13" s="23" t="str">
        <x:v>Formal library frame, Windows runtime measurements and remaining module variants</x:v>
      </x:c>
      <x:c r="Q13" s="26" t="str">
        <x:v>0.9</x:v>
      </x:c>
    </x:row>
    <x:row r="14">
      <x:c r="A14" s="73" t="str">
        <x:v>CMP-010</x:v>
      </x:c>
      <x:c r="B14" s="23" t="str">
        <x:v>ConflictNotice</x:v>
      </x:c>
      <x:c r="C14" s="23" t="str">
        <x:v>Task/State/ConflictNotice</x:v>
      </x:c>
      <x:c r="D14" s="23" t="str">
        <x:v>P0</x:v>
      </x:c>
      <x:c r="E14" s="23" t="str">
        <x:v>Preserves the local draft and offers explicit compare, reload, reapply or discard paths.</x:v>
      </x:c>
      <x:c r="F14" s="23" t="str">
        <x:v>Container; visible label/content; semantic icon where applicable; state/validation region; optional safe action</x:v>
      </x:c>
      <x:c r="G14" s="23" t="str">
        <x:v>stale | precondition | compare | reapply</x:v>
      </x:c>
      <x:c r="H14" s="23" t="str">
        <x:v>Default; hover; focus; pressed; disabled where applicable</x:v>
      </x:c>
      <x:c r="I14" s="23" t="str">
        <x:v>NFR-002; NFR-003; NFR-004; NFR-005; NFR-011; NFR-012; NFR-017</x:v>
      </x:c>
      <x:c r="J14" s="23" t="str">
        <x:v>Native Tab/Shift+Tab order; Enter/Space activation; Escape only for dismissible overlays; arrows for list/tree/menu semantics</x:v>
      </x:c>
      <x:c r="K14" s="23" t="str">
        <x:v>Expose stable name, role, state and value; disabled/read-only/expanded/selected/current states must be programmatic</x:v>
      </x:c>
      <x:c r="L14" s="23" t="str">
        <x:v>No clipped meaning at Windows 200%; long Russian content wraps or truncates with an accessible full value</x:v>
      </x:c>
      <x:c r="M14" s="23" t="str">
        <x:v>Preserve the local/current value; never overwrite or report success after conflict.</x:v>
      </x:c>
      <x:c r="N14" s="23" t="str">
        <x:v>Prototype-verified</x:v>
      </x:c>
      <x:c r="O14" s="23" t="str">
        <x:v>work/stage_5_prototype/src/App.jsx; work/stage_5_prototype/src/styles.css; work/stage_5_prototype/design-qa-stage5-surfaces.md</x:v>
      </x:c>
      <x:c r="P14" s="23" t="str">
        <x:v>Formal library frame, Windows runtime measurements and remaining module variants</x:v>
      </x:c>
      <x:c r="Q14" s="26" t="str">
        <x:v>0.9</x:v>
      </x:c>
    </x:row>
    <x:row r="15">
      <x:c r="A15" s="73" t="str">
        <x:v>CMP-011</x:v>
      </x:c>
      <x:c r="B15" s="23" t="str">
        <x:v>DialogShell</x:v>
      </x:c>
      <x:c r="C15" s="23" t="str">
        <x:v>Task/Core/DialogShell</x:v>
      </x:c>
      <x:c r="D15" s="23" t="str">
        <x:v>P0</x:v>
      </x:c>
      <x:c r="E15" s="23" t="str">
        <x:v>Owns modal semantics, title, action ordering, dismissal rules and focus return.</x:v>
      </x:c>
      <x:c r="F15" s="23" t="str">
        <x:v>Container; visible label/content; semantic icon where applicable; state/validation region; optional safe action</x:v>
      </x:c>
      <x:c r="G15" s="23" t="str">
        <x:v>modal | blocking | destructive</x:v>
      </x:c>
      <x:c r="H15" s="23" t="str">
        <x:v>Default; hover; focus; pressed; disabled where applicable</x:v>
      </x:c>
      <x:c r="I15" s="23" t="str">
        <x:v>NFR-002; NFR-003; NFR-004; NFR-005</x:v>
      </x:c>
      <x:c r="J15" s="23" t="str">
        <x:v>Native Tab/Shift+Tab order; Enter/Space activation; Escape only for dismissible overlays; arrows for list/tree/menu semantics</x:v>
      </x:c>
      <x:c r="K15" s="23" t="str">
        <x:v>Expose stable name, role, state and value; disabled/read-only/expanded/selected/current states must be programmatic</x:v>
      </x:c>
      <x:c r="L15" s="23" t="str">
        <x:v>No clipped meaning at Windows 200%; long Russian content wraps or truncates with an accessible full value</x:v>
      </x:c>
      <x:c r="M15" s="23" t="str">
        <x:v>Preserve accessible name, focus context and user input when the operation cannot complete.</x:v>
      </x:c>
      <x:c r="N15" s="23" t="str">
        <x:v>Prototype-verified</x:v>
      </x:c>
      <x:c r="O15" s="23" t="str">
        <x:v>work/stage_5_prototype/src/App.jsx; work/stage_5_prototype/src/styles.css; work/stage_5_prototype/design-qa-stage5-surfaces.md</x:v>
      </x:c>
      <x:c r="P15" s="23" t="str">
        <x:v>Formal library frame, Windows runtime measurements and remaining module variants</x:v>
      </x:c>
      <x:c r="Q15" s="26" t="str">
        <x:v>0.9</x:v>
      </x:c>
    </x:row>
    <x:row r="16">
      <x:c r="A16" s="73" t="str">
        <x:v>CMP-012</x:v>
      </x:c>
      <x:c r="B16" s="23" t="str">
        <x:v>FocusTrap</x:v>
      </x:c>
      <x:c r="C16" s="23" t="str">
        <x:v>Task/Primitive/FocusTrap</x:v>
      </x:c>
      <x:c r="D16" s="23" t="str">
        <x:v>P0</x:v>
      </x:c>
      <x:c r="E16" s="23" t="str">
        <x:v>Keeps keyboard focus inside blocking/modal content and restores it to the deterministic invoker.</x:v>
      </x:c>
      <x:c r="F16" s="23" t="str">
        <x:v>Container; visible label/content; semantic icon where applicable; state/validation region; optional safe action</x:v>
      </x:c>
      <x:c r="G16" s="23" t="str">
        <x:v>initial | cycle | return-target</x:v>
      </x:c>
      <x:c r="H16" s="23" t="str">
        <x:v>Default; hover; focus; pressed; disabled where applicable</x:v>
      </x:c>
      <x:c r="I16" s="23" t="str">
        <x:v>NFR-002; NFR-003; NFR-004; NFR-005</x:v>
      </x:c>
      <x:c r="J16" s="23" t="str">
        <x:v>Native Tab/Shift+Tab order; Enter/Space activation; Escape only for dismissible overlays; arrows for list/tree/menu semantics</x:v>
      </x:c>
      <x:c r="K16" s="23" t="str">
        <x:v>Expose stable name, role, state and value; disabled/read-only/expanded/selected/current states must be programmatic</x:v>
      </x:c>
      <x:c r="L16" s="23" t="str">
        <x:v>No clipped meaning at Windows 200%; long Russian content wraps or truncates with an accessible full value</x:v>
      </x:c>
      <x:c r="M16" s="23" t="str">
        <x:v>Preserve accessible name, focus context and user input when the operation cannot complete.</x:v>
      </x:c>
      <x:c r="N16" s="23" t="str">
        <x:v>Prototype-verified</x:v>
      </x:c>
      <x:c r="O16" s="23" t="str">
        <x:v>work/stage_5_prototype/src/App.jsx#useDialogFocusTrap/TaskEditorDialog; work/stage_5_2/Accessibility_Evidence_Working_0.4.md</x:v>
      </x:c>
      <x:c r="P16" s="23" t="str">
        <x:v>Formal library frame, Windows runtime measurements and remaining module variants</x:v>
      </x:c>
      <x:c r="Q16" s="26" t="str">
        <x:v>0.9</x:v>
      </x:c>
    </x:row>
    <x:row r="17">
      <x:c r="A17" s="73" t="str">
        <x:v>CMP-013</x:v>
      </x:c>
      <x:c r="B17" s="23" t="str">
        <x:v>ErrorMessage</x:v>
      </x:c>
      <x:c r="C17" s="23" t="str">
        <x:v>Task/State/ErrorMessage</x:v>
      </x:c>
      <x:c r="D17" s="23" t="str">
        <x:v>P0</x:v>
      </x:c>
      <x:c r="E17" s="23" t="str">
        <x:v>States the failure, safe consequence, recovery action and diagnostic identifier when useful.</x:v>
      </x:c>
      <x:c r="F17" s="23" t="str">
        <x:v>Container; visible label/content; semantic icon where applicable; state/validation region; optional safe action</x:v>
      </x:c>
      <x:c r="G17" s="23" t="str">
        <x:v>inline | block | page | trace-id</x:v>
      </x:c>
      <x:c r="H17" s="23" t="str">
        <x:v>ObjectUnavailable; ServerUnavailable</x:v>
      </x:c>
      <x:c r="I17" s="23" t="str">
        <x:v>NFR-002; NFR-003; NFR-004; NFR-005; NFR-017</x:v>
      </x:c>
      <x:c r="J17" s="23" t="str">
        <x:v>Native Tab/Shift+Tab order; Enter/Space activation; Escape only for dismissible overlays; arrows for list/tree/menu semantics</x:v>
      </x:c>
      <x:c r="K17" s="23" t="str">
        <x:v>Expose stable name, role, state and value; disabled/read-only/expanded/selected/current states must be programmatic</x:v>
      </x:c>
      <x:c r="L17" s="23" t="str">
        <x:v>No clipped meaning at Windows 200%; long Russian content wraps or truncates with an accessible full value</x:v>
      </x:c>
      <x:c r="M17" s="23" t="str">
        <x:v>Never rely on color alone; state text and a safe recovery consequence are required.</x:v>
      </x:c>
      <x:c r="N17" s="23" t="str">
        <x:v>Prototype-verified</x:v>
      </x:c>
      <x:c r="O17" s="23" t="str">
        <x:v>work/stage_5_prototype/src/App.jsx; work/stage_5_prototype/src/styles.css; work/stage_5_prototype/design-qa-stage5-surfaces.md</x:v>
      </x:c>
      <x:c r="P17" s="23" t="str">
        <x:v>Formal library frame, Windows runtime measurements and remaining module variants</x:v>
      </x:c>
      <x:c r="Q17" s="26" t="str">
        <x:v>0.9</x:v>
      </x:c>
    </x:row>
    <x:row r="18">
      <x:c r="A18" s="73" t="str">
        <x:v>CMP-014</x:v>
      </x:c>
      <x:c r="B18" s="23" t="str">
        <x:v>DataList</x:v>
      </x:c>
      <x:c r="C18" s="23" t="str">
        <x:v>Task/Core/DataList</x:v>
      </x:c>
      <x:c r="D18" s="23" t="str">
        <x:v>P0</x:v>
      </x:c>
      <x:c r="E18" s="23" t="str">
        <x:v>Presents an authorized collection with stable selection, loading, empty, stale and partial states.</x:v>
      </x:c>
      <x:c r="F18" s="23" t="str">
        <x:v>Container; visible label/content; semantic icon where applicable; state/validation region; optional safe action</x:v>
      </x:c>
      <x:c r="G18" s="23" t="str">
        <x:v>loading | empty | selected | stale | partial</x:v>
      </x:c>
      <x:c r="H18" s="23" t="str">
        <x:v>Loading; Refreshing; Empty; FilteredEmpty; PartialAccess</x:v>
      </x:c>
      <x:c r="I18" s="23" t="str">
        <x:v>NFR-002; NFR-003; NFR-004; NFR-005; NFR-006; NFR-023; NFR-025</x:v>
      </x:c>
      <x:c r="J18" s="23" t="str">
        <x:v>Native Tab/Shift+Tab order; Enter/Space activation; Escape only for dismissible overlays; arrows for list/tree/menu semantics</x:v>
      </x:c>
      <x:c r="K18" s="23" t="str">
        <x:v>Expose stable name, role, state and value; disabled/read-only/expanded/selected/current states must be programmatic</x:v>
      </x:c>
      <x:c r="L18" s="23" t="str">
        <x:v>No clipped meaning at Windows 200%; long Russian content wraps or truncates with an accessible full value</x:v>
      </x:c>
      <x:c r="M18" s="23" t="str">
        <x:v>Preserve accessible name, focus context and user input when the operation cannot complete.</x:v>
      </x:c>
      <x:c r="N18" s="23" t="str">
        <x:v>Prototype-verified</x:v>
      </x:c>
      <x:c r="O18" s="23" t="str">
        <x:v>work/stage_5_prototype/src/App.jsx; work/stage_5_prototype/src/styles.css; work/stage_5_prototype/design-qa-stage5-surfaces.md</x:v>
      </x:c>
      <x:c r="P18" s="23" t="str">
        <x:v>Formal library frame, Windows runtime measurements and remaining module variants</x:v>
      </x:c>
      <x:c r="Q18" s="26" t="str">
        <x:v>0.9</x:v>
      </x:c>
    </x:row>
    <x:row r="19">
      <x:c r="A19" s="73" t="str">
        <x:v>CMP-015</x:v>
      </x:c>
      <x:c r="B19" s="23" t="str">
        <x:v>SemanticStatus</x:v>
      </x:c>
      <x:c r="C19" s="23" t="str">
        <x:v>Task/State/SemanticStatus</x:v>
      </x:c>
      <x:c r="D19" s="23" t="str">
        <x:v>P0</x:v>
      </x:c>
      <x:c r="E19" s="23" t="str">
        <x:v>Pairs text and icon with semantic color for status that remains understandable without color.</x:v>
      </x:c>
      <x:c r="F19" s="23" t="str">
        <x:v>Container; visible label/content; semantic icon where applicable; state/validation region; optional safe action</x:v>
      </x:c>
      <x:c r="G19" s="23" t="str">
        <x:v>info | success | warning | danger | offline</x:v>
      </x:c>
      <x:c r="H19" s="23" t="str">
        <x:v>Default; hover; focus; pressed; disabled where applicable</x:v>
      </x:c>
      <x:c r="I19" s="23" t="str">
        <x:v>NFR-002; NFR-003; NFR-004; NFR-005</x:v>
      </x:c>
      <x:c r="J19" s="23" t="str">
        <x:v>Native Tab/Shift+Tab order; Enter/Space activation; Escape only for dismissible overlays; arrows for list/tree/menu semantics</x:v>
      </x:c>
      <x:c r="K19" s="23" t="str">
        <x:v>Expose stable name, role, state and value; disabled/read-only/expanded/selected/current states must be programmatic</x:v>
      </x:c>
      <x:c r="L19" s="23" t="str">
        <x:v>No clipped meaning at Windows 200%; long Russian content wraps or truncates with an accessible full value</x:v>
      </x:c>
      <x:c r="M19" s="23" t="str">
        <x:v>Never rely on color alone; state text and a safe recovery consequence are required.</x:v>
      </x:c>
      <x:c r="N19" s="23" t="str">
        <x:v>Prototype-verified</x:v>
      </x:c>
      <x:c r="O19" s="23" t="str">
        <x:v>work/stage_5_prototype/src/App.jsx; work/stage_5_prototype/src/styles.css; work/stage_5_prototype/design-qa-stage5-surfaces.md</x:v>
      </x:c>
      <x:c r="P19" s="23" t="str">
        <x:v>Formal library frame, Windows runtime measurements and remaining module variants</x:v>
      </x:c>
      <x:c r="Q19" s="26" t="str">
        <x:v>0.9</x:v>
      </x:c>
    </x:row>
    <x:row r="20">
      <x:c r="A20" s="73" t="str">
        <x:v>CMP-016</x:v>
      </x:c>
      <x:c r="B20" s="23" t="str">
        <x:v>TaskRow</x:v>
      </x:c>
      <x:c r="C20" s="23" t="str">
        <x:v>Task/Domain/TaskRow</x:v>
      </x:c>
      <x:c r="D20" s="23" t="str">
        <x:v>P0</x:v>
      </x:c>
      <x:c r="E20" s="23" t="str">
        <x:v>Summarizes task identity, project/assignee, status, urgency and due information at list density.</x:v>
      </x:c>
      <x:c r="F20" s="23" t="str">
        <x:v>Container; visible label/content; semantic icon where applicable; state/validation region; optional safe action</x:v>
      </x:c>
      <x:c r="G20" s="23" t="str">
        <x:v>default | focused | selected | overdue | read-only</x:v>
      </x:c>
      <x:c r="H20" s="23" t="str">
        <x:v>Default; hover; focus; pressed; disabled where applicable</x:v>
      </x:c>
      <x:c r="I20" s="23" t="str">
        <x:v>NFR-002; NFR-003; NFR-004; NFR-005</x:v>
      </x:c>
      <x:c r="J20" s="23" t="str">
        <x:v>Native Tab/Shift+Tab order; Enter/Space activation; Escape only for dismissible overlays; arrows for list/tree/menu semantics</x:v>
      </x:c>
      <x:c r="K20" s="23" t="str">
        <x:v>Expose stable name, role, state and value; disabled/read-only/expanded/selected/current states must be programmatic</x:v>
      </x:c>
      <x:c r="L20" s="23" t="str">
        <x:v>No clipped meaning at Windows 200%; long Russian content wraps or truncates with an accessible full value</x:v>
      </x:c>
      <x:c r="M20" s="23" t="str">
        <x:v>Current server capability and object version remain authoritative.</x:v>
      </x:c>
      <x:c r="N20" s="23" t="str">
        <x:v>Prototype-verified</x:v>
      </x:c>
      <x:c r="O20" s="23" t="str">
        <x:v>work/stage_5_prototype/src/App.jsx; work/stage_5_prototype/src/styles.css; work/stage_5_prototype/design-qa-stage5-surfaces.md</x:v>
      </x:c>
      <x:c r="P20" s="23" t="str">
        <x:v>Formal library frame, Windows runtime measurements and remaining module variants</x:v>
      </x:c>
      <x:c r="Q20" s="26" t="str">
        <x:v>0.9</x:v>
      </x:c>
    </x:row>
    <x:row r="21">
      <x:c r="A21" s="73" t="str">
        <x:v>CMP-017</x:v>
      </x:c>
      <x:c r="B21" s="23" t="str">
        <x:v>TaskStatusControl</x:v>
      </x:c>
      <x:c r="C21" s="23" t="str">
        <x:v>Task/Domain/TaskStatusControl</x:v>
      </x:c>
      <x:c r="D21" s="23" t="str">
        <x:v>P0</x:v>
      </x:c>
      <x:c r="E21" s="23" t="str">
        <x:v>Offers only server-allowed transitions and preserves current state on conflict or failure.</x:v>
      </x:c>
      <x:c r="F21" s="23" t="str">
        <x:v>Container; visible label/content; semantic icon where applicable; state/validation region; optional safe action</x:v>
      </x:c>
      <x:c r="G21" s="23" t="str">
        <x:v>allowed | pending | disabled | conflict</x:v>
      </x:c>
      <x:c r="H21" s="23" t="str">
        <x:v>Default; hover; focus; pressed; disabled where applicable</x:v>
      </x:c>
      <x:c r="I21" s="23" t="str">
        <x:v>NFR-002; NFR-003; NFR-004; NFR-005</x:v>
      </x:c>
      <x:c r="J21" s="23" t="str">
        <x:v>Native Tab/Shift+Tab order; Enter/Space activation; Escape only for dismissible overlays; arrows for list/tree/menu semantics</x:v>
      </x:c>
      <x:c r="K21" s="23" t="str">
        <x:v>Expose stable name, role, state and value; disabled/read-only/expanded/selected/current states must be programmatic</x:v>
      </x:c>
      <x:c r="L21" s="23" t="str">
        <x:v>No clipped meaning at Windows 200%; long Russian content wraps or truncates with an accessible full value</x:v>
      </x:c>
      <x:c r="M21" s="23" t="str">
        <x:v>Preserve the local/current value; never overwrite or report success after conflict.</x:v>
      </x:c>
      <x:c r="N21" s="23" t="str">
        <x:v>Prototype-verified</x:v>
      </x:c>
      <x:c r="O21" s="23" t="str">
        <x:v>work/stage_5_prototype/src/App.jsx; work/stage_5_prototype/src/styles.css; work/stage_5_prototype/design-qa-stage5-surfaces.md</x:v>
      </x:c>
      <x:c r="P21" s="23" t="str">
        <x:v>Formal library frame, Windows runtime measurements and remaining module variants</x:v>
      </x:c>
      <x:c r="Q21" s="26" t="str">
        <x:v>0.9</x:v>
      </x:c>
    </x:row>
    <x:row r="22">
      <x:c r="A22" s="73" t="str">
        <x:v>CMP-018</x:v>
      </x:c>
      <x:c r="B22" s="23" t="str">
        <x:v>UrgencyIndicator</x:v>
      </x:c>
      <x:c r="C22" s="23" t="str">
        <x:v>Task/Domain/UrgencyIndicator</x:v>
      </x:c>
      <x:c r="D22" s="23" t="str">
        <x:v>P0</x:v>
      </x:c>
      <x:c r="E22" s="23" t="str">
        <x:v>Expresses low/medium/high/critical urgency with text and a directional/status icon.</x:v>
      </x:c>
      <x:c r="F22" s="23" t="str">
        <x:v>Container; visible label/content; semantic icon where applicable; state/validation region; optional safe action</x:v>
      </x:c>
      <x:c r="G22" s="23" t="str">
        <x:v>low | medium | high | critical</x:v>
      </x:c>
      <x:c r="H22" s="23" t="str">
        <x:v>Default; hover; focus; pressed; disabled where applicable</x:v>
      </x:c>
      <x:c r="I22" s="23" t="str">
        <x:v>NFR-002; NFR-003; NFR-004; NFR-005</x:v>
      </x:c>
      <x:c r="J22" s="23" t="str">
        <x:v>Native Tab/Shift+Tab order; Enter/Space activation; Escape only for dismissible overlays; arrows for list/tree/menu semantics</x:v>
      </x:c>
      <x:c r="K22" s="23" t="str">
        <x:v>Expose stable name, role, state and value; disabled/read-only/expanded/selected/current states must be programmatic</x:v>
      </x:c>
      <x:c r="L22" s="23" t="str">
        <x:v>No clipped meaning at Windows 200%; long Russian content wraps or truncates with an accessible full value</x:v>
      </x:c>
      <x:c r="M22" s="23" t="str">
        <x:v>Current server capability and object version remain authoritative.</x:v>
      </x:c>
      <x:c r="N22" s="23" t="str">
        <x:v>Prototype-verified</x:v>
      </x:c>
      <x:c r="O22" s="23" t="str">
        <x:v>work/stage_5_prototype/src/App.jsx; work/stage_5_prototype/src/styles.css; work/stage_5_prototype/design-qa-stage5-surfaces.md</x:v>
      </x:c>
      <x:c r="P22" s="23" t="str">
        <x:v>Formal library frame, Windows runtime measurements and remaining module variants</x:v>
      </x:c>
      <x:c r="Q22" s="26" t="str">
        <x:v>0.9</x:v>
      </x:c>
    </x:row>
    <x:row r="23">
      <x:c r="A23" s="73" t="str">
        <x:v>CMP-019</x:v>
      </x:c>
      <x:c r="B23" s="23" t="str">
        <x:v>InspectorPanel</x:v>
      </x:c>
      <x:c r="C23" s="23" t="str">
        <x:v>Task/Pattern/InspectorPanel</x:v>
      </x:c>
      <x:c r="D23" s="23" t="str">
        <x:v>P0</x:v>
      </x:c>
      <x:c r="E23" s="23" t="str">
        <x:v>Shows details for the current selection while preserving list context and stale/read-only disclosure.</x:v>
      </x:c>
      <x:c r="F23" s="23" t="str">
        <x:v>Container; visible label/content; semantic icon where applicable; state/validation region; optional safe action</x:v>
      </x:c>
      <x:c r="G23" s="23" t="str">
        <x:v>empty-selection | loading | details | stale</x:v>
      </x:c>
      <x:c r="H23" s="23" t="str">
        <x:v>Loading; ObjectUnavailable; PartialAccess</x:v>
      </x:c>
      <x:c r="I23" s="23" t="str">
        <x:v>NFR-002; NFR-003; NFR-004; NFR-005</x:v>
      </x:c>
      <x:c r="J23" s="23" t="str">
        <x:v>Native Tab/Shift+Tab order; Enter/Space activation; Escape only for dismissible overlays; arrows for list/tree/menu semantics</x:v>
      </x:c>
      <x:c r="K23" s="23" t="str">
        <x:v>Expose stable name, role, state and value; disabled/read-only/expanded/selected/current states must be programmatic</x:v>
      </x:c>
      <x:c r="L23" s="23" t="str">
        <x:v>No clipped meaning at Windows 200%; long Russian content wraps or truncates with an accessible full value</x:v>
      </x:c>
      <x:c r="M23" s="23" t="str">
        <x:v>Preserve accessible name, focus context and user input when the operation cannot complete.</x:v>
      </x:c>
      <x:c r="N23" s="23" t="str">
        <x:v>Prototype-verified</x:v>
      </x:c>
      <x:c r="O23" s="23" t="str">
        <x:v>work/stage_5_prototype/src/App.jsx; work/stage_5_prototype/src/styles.css; work/stage_5_prototype/design-qa-stage5-surfaces.md</x:v>
      </x:c>
      <x:c r="P23" s="23" t="str">
        <x:v>Formal library frame, Windows runtime measurements and remaining module variants</x:v>
      </x:c>
      <x:c r="Q23" s="26" t="str">
        <x:v>0.9</x:v>
      </x:c>
    </x:row>
    <x:row r="24">
      <x:c r="A24" s="73" t="str">
        <x:v>CMP-020</x:v>
      </x:c>
      <x:c r="B24" s="23" t="str">
        <x:v>EmptyState</x:v>
      </x:c>
      <x:c r="C24" s="23" t="str">
        <x:v>Task/State/EmptyState</x:v>
      </x:c>
      <x:c r="D24" s="23" t="str">
        <x:v>P0</x:v>
      </x:c>
      <x:c r="E24" s="23" t="str">
        <x:v>Explains authorized empty, filtered empty or no-cache conditions with the smallest safe next action.</x:v>
      </x:c>
      <x:c r="F24" s="23" t="str">
        <x:v>Container; visible label/content; semantic icon where applicable; state/validation region; optional safe action</x:v>
      </x:c>
      <x:c r="G24" s="23" t="str">
        <x:v>authorized-empty | filtered-empty | no-cache</x:v>
      </x:c>
      <x:c r="H24" s="23" t="str">
        <x:v>Empty; FilteredEmpty</x:v>
      </x:c>
      <x:c r="I24" s="23" t="str">
        <x:v>NFR-002; NFR-003; NFR-004; NFR-005</x:v>
      </x:c>
      <x:c r="J24" s="23" t="str">
        <x:v>Native Tab/Shift+Tab order; Enter/Space activation; Escape only for dismissible overlays; arrows for list/tree/menu semantics</x:v>
      </x:c>
      <x:c r="K24" s="23" t="str">
        <x:v>Expose stable name, role, state and value; disabled/read-only/expanded/selected/current states must be programmatic</x:v>
      </x:c>
      <x:c r="L24" s="23" t="str">
        <x:v>No clipped meaning at Windows 200%; long Russian content wraps or truncates with an accessible full value</x:v>
      </x:c>
      <x:c r="M24" s="23" t="str">
        <x:v>Never rely on color alone; state text and a safe recovery consequence are required.</x:v>
      </x:c>
      <x:c r="N24" s="23" t="str">
        <x:v>Prototype-verified</x:v>
      </x:c>
      <x:c r="O24" s="23" t="str">
        <x:v>work/stage_5_prototype/src/App.jsx; work/stage_5_prototype/src/styles.css; work/stage_5_prototype/design-qa-stage5-surfaces.md</x:v>
      </x:c>
      <x:c r="P24" s="23" t="str">
        <x:v>Formal library frame, Windows runtime measurements and remaining module variants</x:v>
      </x:c>
      <x:c r="Q24" s="26" t="str">
        <x:v>0.9</x:v>
      </x:c>
    </x:row>
    <x:row r="25">
      <x:c r="A25" s="73" t="str">
        <x:v>CMP-021</x:v>
      </x:c>
      <x:c r="B25" s="23" t="str">
        <x:v>LoadingState</x:v>
      </x:c>
      <x:c r="C25" s="23" t="str">
        <x:v>Task/State/LoadingState</x:v>
      </x:c>
      <x:c r="D25" s="23" t="str">
        <x:v>P0</x:v>
      </x:c>
      <x:c r="E25" s="23" t="str">
        <x:v>Reserves layout and distinguishes initial load, refresh and section-level progress.</x:v>
      </x:c>
      <x:c r="F25" s="23" t="str">
        <x:v>Container; visible label/content; semantic icon where applicable; state/validation region; optional safe action</x:v>
      </x:c>
      <x:c r="G25" s="23" t="str">
        <x:v>initial | refreshing | section</x:v>
      </x:c>
      <x:c r="H25" s="23" t="str">
        <x:v>Initial; Loading; Refreshing</x:v>
      </x:c>
      <x:c r="I25" s="23" t="str">
        <x:v>NFR-002; NFR-003; NFR-004; NFR-005</x:v>
      </x:c>
      <x:c r="J25" s="23" t="str">
        <x:v>Native Tab/Shift+Tab order; Enter/Space activation; Escape only for dismissible overlays; arrows for list/tree/menu semantics</x:v>
      </x:c>
      <x:c r="K25" s="23" t="str">
        <x:v>Expose stable name, role, state and value; disabled/read-only/expanded/selected/current states must be programmatic</x:v>
      </x:c>
      <x:c r="L25" s="23" t="str">
        <x:v>No clipped meaning at Windows 200%; long Russian content wraps or truncates with an accessible full value</x:v>
      </x:c>
      <x:c r="M25" s="23" t="str">
        <x:v>Never rely on color alone; state text and a safe recovery consequence are required.</x:v>
      </x:c>
      <x:c r="N25" s="23" t="str">
        <x:v>Prototype-verified</x:v>
      </x:c>
      <x:c r="O25" s="23" t="str">
        <x:v>work/stage_5_prototype/src/App.jsx; work/stage_5_prototype/src/styles.css; work/stage_5_prototype/design-qa-stage5-surfaces.md</x:v>
      </x:c>
      <x:c r="P25" s="23" t="str">
        <x:v>Formal library frame, Windows runtime measurements and remaining module variants</x:v>
      </x:c>
      <x:c r="Q25" s="26" t="str">
        <x:v>0.9</x:v>
      </x:c>
    </x:row>
    <x:row r="26">
      <x:c r="A26" s="73" t="str">
        <x:v>CMP-022</x:v>
      </x:c>
      <x:c r="B26" s="23" t="str">
        <x:v>CommandBar</x:v>
      </x:c>
      <x:c r="C26" s="23" t="str">
        <x:v>Task/Core/CommandBar</x:v>
      </x:c>
      <x:c r="D26" s="23" t="str">
        <x:v>P0</x:v>
      </x:c>
      <x:c r="E26" s="23" t="str">
        <x:v>Prioritizes page or selection commands and collapses to named icon actions in narrow layouts.</x:v>
      </x:c>
      <x:c r="F26" s="23" t="str">
        <x:v>Container; visible label/content; semantic icon where applicable; state/validation region; optional safe action</x:v>
      </x:c>
      <x:c r="G26" s="23" t="str">
        <x:v>page | selection | narrow</x:v>
      </x:c>
      <x:c r="H26" s="23" t="str">
        <x:v>Default; hover; focus; pressed; disabled where applicable</x:v>
      </x:c>
      <x:c r="I26" s="23" t="str">
        <x:v>NFR-002; NFR-003; NFR-004; NFR-005</x:v>
      </x:c>
      <x:c r="J26" s="23" t="str">
        <x:v>Native Tab/Shift+Tab order; Enter/Space activation; Escape only for dismissible overlays; arrows for list/tree/menu semantics</x:v>
      </x:c>
      <x:c r="K26" s="23" t="str">
        <x:v>Expose stable name, role, state and value; disabled/read-only/expanded/selected/current states must be programmatic</x:v>
      </x:c>
      <x:c r="L26" s="23" t="str">
        <x:v>No clipped meaning at Windows 200%; long Russian content wraps or truncates with an accessible full value</x:v>
      </x:c>
      <x:c r="M26" s="23" t="str">
        <x:v>Preserve accessible name, focus context and user input when the operation cannot complete.</x:v>
      </x:c>
      <x:c r="N26" s="23" t="str">
        <x:v>Prototype-verified</x:v>
      </x:c>
      <x:c r="O26" s="23" t="str">
        <x:v>work/stage_5_prototype/src/App.jsx; work/stage_5_prototype/src/styles.css; work/stage_5_prototype/design-qa-stage5-surfaces.md</x:v>
      </x:c>
      <x:c r="P26" s="23" t="str">
        <x:v>Formal library frame, Windows runtime measurements and remaining module variants</x:v>
      </x:c>
      <x:c r="Q26" s="26" t="str">
        <x:v>0.9</x:v>
      </x:c>
    </x:row>
    <x:row r="27">
      <x:c r="A27" s="73" t="str">
        <x:v>CMP-023</x:v>
      </x:c>
      <x:c r="B27" s="23" t="str">
        <x:v>ConnectionStatus</x:v>
      </x:c>
      <x:c r="C27" s="23" t="str">
        <x:v>Task/State/ConnectionStatus</x:v>
      </x:c>
      <x:c r="D27" s="23" t="str">
        <x:v>P0</x:v>
      </x:c>
      <x:c r="E27" s="23" t="str">
        <x:v>Provides persistent online/syncing/offline/read-only state with access to diagnostics.</x:v>
      </x:c>
      <x:c r="F27" s="23" t="str">
        <x:v>Container; visible label/content; semantic icon where applicable; state/validation region; optional safe action</x:v>
      </x:c>
      <x:c r="G27" s="23" t="str">
        <x:v>online | syncing | offline | read-only</x:v>
      </x:c>
      <x:c r="H27" s="23" t="str">
        <x:v>ServerUnavailable; Reconnecting</x:v>
      </x:c>
      <x:c r="I27" s="23" t="str">
        <x:v>NFR-002; NFR-003; NFR-004; NFR-005; NFR-009; NFR-010; NFR-024</x:v>
      </x:c>
      <x:c r="J27" s="23" t="str">
        <x:v>Native Tab/Shift+Tab order; Enter/Space activation; Escape only for dismissible overlays; arrows for list/tree/menu semantics</x:v>
      </x:c>
      <x:c r="K27" s="23" t="str">
        <x:v>Expose stable name, role, state and value; disabled/read-only/expanded/selected/current states must be programmatic</x:v>
      </x:c>
      <x:c r="L27" s="23" t="str">
        <x:v>No clipped meaning at Windows 200%; long Russian content wraps or truncates with an accessible full value</x:v>
      </x:c>
      <x:c r="M27" s="23" t="str">
        <x:v>Never rely on color alone; state text and a safe recovery consequence are required.</x:v>
      </x:c>
      <x:c r="N27" s="23" t="str">
        <x:v>Prototype-verified</x:v>
      </x:c>
      <x:c r="O27" s="23" t="str">
        <x:v>work/stage_5_prototype/src/App.jsx; work/stage_5_prototype/src/styles.css; work/stage_5_prototype/design-qa-stage5-surfaces.md</x:v>
      </x:c>
      <x:c r="P27" s="23" t="str">
        <x:v>Formal library frame, Windows runtime measurements and remaining module variants</x:v>
      </x:c>
      <x:c r="Q27" s="26" t="str">
        <x:v>0.9</x:v>
      </x:c>
    </x:row>
    <x:row r="28">
      <x:c r="A28" s="73" t="str">
        <x:v>CMP-024</x:v>
      </x:c>
      <x:c r="B28" s="23" t="str">
        <x:v>NavigationRail</x:v>
      </x:c>
      <x:c r="C28" s="23" t="str">
        <x:v>Task/Core/NavigationRail</x:v>
      </x:c>
      <x:c r="D28" s="23" t="str">
        <x:v>P0</x:v>
      </x:c>
      <x:c r="E28" s="23" t="str">
        <x:v>Navigates primary modules, exposes the active destination and preserves accessible names in compact mode.</x:v>
      </x:c>
      <x:c r="F28" s="23" t="str">
        <x:v>Container; visible label/content; semantic icon where applicable; state/validation region; optional safe action</x:v>
      </x:c>
      <x:c r="G28" s="23" t="str">
        <x:v>expanded | compact | capability-filtered</x:v>
      </x:c>
      <x:c r="H28" s="23" t="str">
        <x:v>Default; hover; focus; pressed; disabled where applicable</x:v>
      </x:c>
      <x:c r="I28" s="23" t="str">
        <x:v>NFR-002; NFR-003; NFR-004; NFR-005</x:v>
      </x:c>
      <x:c r="J28" s="23" t="str">
        <x:v>Native Tab/Shift+Tab order; Enter/Space activation; Escape only for dismissible overlays; arrows for list/tree/menu semantics</x:v>
      </x:c>
      <x:c r="K28" s="23" t="str">
        <x:v>Expose stable name, role, state and value; disabled/read-only/expanded/selected/current states must be programmatic</x:v>
      </x:c>
      <x:c r="L28" s="23" t="str">
        <x:v>No clipped meaning at Windows 200%; long Russian content wraps or truncates with an accessible full value</x:v>
      </x:c>
      <x:c r="M28" s="23" t="str">
        <x:v>Preserve accessible name, focus context and user input when the operation cannot complete.</x:v>
      </x:c>
      <x:c r="N28" s="23" t="str">
        <x:v>Prototype-verified</x:v>
      </x:c>
      <x:c r="O28" s="23" t="str">
        <x:v>work/stage_5_prototype/src/App.jsx; work/stage_5_prototype/src/styles.css; work/stage_5_prototype/design-qa-stage5-surfaces.md</x:v>
      </x:c>
      <x:c r="P28" s="23" t="str">
        <x:v>Formal library frame, Windows runtime measurements and remaining module variants</x:v>
      </x:c>
      <x:c r="Q28" s="26" t="str">
        <x:v>0.9</x:v>
      </x:c>
    </x:row>
    <x:row r="29">
      <x:c r="A29" s="73" t="str">
        <x:v>CMP-025</x:v>
      </x:c>
      <x:c r="B29" s="23" t="str">
        <x:v>ProfileMenu</x:v>
      </x:c>
      <x:c r="C29" s="23" t="str">
        <x:v>Task/Core/ProfileMenu</x:v>
      </x:c>
      <x:c r="D29" s="23" t="str">
        <x:v>P0</x:v>
      </x:c>
      <x:c r="E29" s="23" t="str">
        <x:v>Shows current identity and safe account/session actions without exposing hidden directory data.</x:v>
      </x:c>
      <x:c r="F29" s="23" t="str">
        <x:v>Container; visible label/content; semantic icon where applicable; state/validation region; optional safe action</x:v>
      </x:c>
      <x:c r="G29" s="23" t="str">
        <x:v>normal | offline | session-issue</x:v>
      </x:c>
      <x:c r="H29" s="23" t="str">
        <x:v>Default; hover; focus; pressed; disabled where applicable</x:v>
      </x:c>
      <x:c r="I29" s="23" t="str">
        <x:v>NFR-002; NFR-003; NFR-004; NFR-005</x:v>
      </x:c>
      <x:c r="J29" s="23" t="str">
        <x:v>Native Tab/Shift+Tab order; Enter/Space activation; Escape only for dismissible overlays; arrows for list/tree/menu semantics</x:v>
      </x:c>
      <x:c r="K29" s="23" t="str">
        <x:v>Expose stable name, role, state and value; disabled/read-only/expanded/selected/current states must be programmatic</x:v>
      </x:c>
      <x:c r="L29" s="23" t="str">
        <x:v>No clipped meaning at Windows 200%; long Russian content wraps or truncates with an accessible full value</x:v>
      </x:c>
      <x:c r="M29" s="23" t="str">
        <x:v>Preserve accessible name, focus context and user input when the operation cannot complete.</x:v>
      </x:c>
      <x:c r="N29" s="23" t="str">
        <x:v>Prototype-verified</x:v>
      </x:c>
      <x:c r="O29" s="23" t="str">
        <x:v>work/stage_5_prototype/src/App.jsx; work/stage_5_prototype/src/styles.css; work/stage_5_prototype/design-qa-stage5-surfaces.md</x:v>
      </x:c>
      <x:c r="P29" s="23" t="str">
        <x:v>Formal library frame, Windows runtime measurements and remaining module variants</x:v>
      </x:c>
      <x:c r="Q29" s="26" t="str">
        <x:v>0.9</x:v>
      </x:c>
    </x:row>
    <x:row r="30">
      <x:c r="A30" s="73" t="str">
        <x:v>CMP-026</x:v>
      </x:c>
      <x:c r="B30" s="23" t="str">
        <x:v>PeoplePicker</x:v>
      </x:c>
      <x:c r="C30" s="23" t="str">
        <x:v>Task/Domain/PeoplePicker</x:v>
      </x:c>
      <x:c r="D30" s="23" t="str">
        <x:v>P1</x:v>
      </x:c>
      <x:c r="E30" s="23" t="str">
        <x:v>Selects authorized people, communicates redaction/unavailability and never reveals forbidden directory entries.</x:v>
      </x:c>
      <x:c r="F30" s="23" t="str">
        <x:v>Container; visible label/content; semantic icon where applicable; state/validation region; optional safe action</x:v>
      </x:c>
      <x:c r="G30" s="23" t="str">
        <x:v>loading | results | selected | redacted | unavailable</x:v>
      </x:c>
      <x:c r="H30" s="23" t="str">
        <x:v>Default; hover; focus; pressed; disabled where applicable</x:v>
      </x:c>
      <x:c r="I30" s="23" t="str">
        <x:v>NFR-002; NFR-003; NFR-004; NFR-005</x:v>
      </x:c>
      <x:c r="J30" s="23" t="str">
        <x:v>Native Tab/Shift+Tab order; Enter/Space activation; Escape only for dismissible overlays; arrows for list/tree/menu semantics</x:v>
      </x:c>
      <x:c r="K30" s="23" t="str">
        <x:v>Expose stable name, role, state and value; disabled/read-only/expanded/selected/current states must be programmatic</x:v>
      </x:c>
      <x:c r="L30" s="23" t="str">
        <x:v>No clipped meaning at Windows 200%; long Russian content wraps or truncates with an accessible full value</x:v>
      </x:c>
      <x:c r="M30" s="23" t="str">
        <x:v>Current server capability and object version remain authoritative.</x:v>
      </x:c>
      <x:c r="N30" s="23" t="str">
        <x:v>Prototype-verified</x:v>
      </x:c>
      <x:c r="O30" s="23" t="str">
        <x:v>work/stage_5_prototype/src/App.jsx#TaskEditorDialog; work/stage_5_prototype/design-qa-stage5-surfaces.md</x:v>
      </x:c>
      <x:c r="P30" s="23" t="str">
        <x:v>Formal library frame, Windows runtime measurements and remaining module variants</x:v>
      </x:c>
      <x:c r="Q30" s="26" t="str">
        <x:v>0.9</x:v>
      </x:c>
    </x:row>
    <x:row r="31">
      <x:c r="A31" s="73" t="str">
        <x:v>CMP-027</x:v>
      </x:c>
      <x:c r="B31" s="23" t="str">
        <x:v>DateTimePicker</x:v>
      </x:c>
      <x:c r="C31" s="23" t="str">
        <x:v>Task/Domain/DateTimePicker</x:v>
      </x:c>
      <x:c r="D31" s="23" t="str">
        <x:v>P1</x:v>
      </x:c>
      <x:c r="E31" s="23" t="str">
        <x:v>Captures date/date-time values with timezone context, validation and disabled/read-only behavior.</x:v>
      </x:c>
      <x:c r="F31" s="23" t="str">
        <x:v>Container; visible label/content; semantic icon where applicable; state/validation region; optional safe action</x:v>
      </x:c>
      <x:c r="G31" s="23" t="str">
        <x:v>date-only | date-time | invalid | disabled</x:v>
      </x:c>
      <x:c r="H31" s="23" t="str">
        <x:v>Default; hover; focus; pressed; disabled where applicable</x:v>
      </x:c>
      <x:c r="I31" s="23" t="str">
        <x:v>NFR-002; NFR-003; NFR-004; NFR-005; NFR-007</x:v>
      </x:c>
      <x:c r="J31" s="23" t="str">
        <x:v>Native Tab/Shift+Tab order; Enter/Space activation; Escape only for dismissible overlays; arrows for list/tree/menu semantics</x:v>
      </x:c>
      <x:c r="K31" s="23" t="str">
        <x:v>Expose stable name, role, state and value; disabled/read-only/expanded/selected/current states must be programmatic</x:v>
      </x:c>
      <x:c r="L31" s="23" t="str">
        <x:v>No clipped meaning at Windows 200%; long Russian content wraps or truncates with an accessible full value</x:v>
      </x:c>
      <x:c r="M31" s="23" t="str">
        <x:v>Current server capability and object version remain authoritative.</x:v>
      </x:c>
      <x:c r="N31" s="23" t="str">
        <x:v>Prototype-verified</x:v>
      </x:c>
      <x:c r="O31" s="23" t="str">
        <x:v>work/stage_5_prototype/src/App.jsx#TaskEditorDialog; work/stage_5_prototype/implementation-direction2-task-scheduling.png</x:v>
      </x:c>
      <x:c r="P31" s="23" t="str">
        <x:v>Formal library frame, Windows runtime measurements and remaining module variants</x:v>
      </x:c>
      <x:c r="Q31" s="26" t="str">
        <x:v>0.9</x:v>
      </x:c>
    </x:row>
    <x:row r="32">
      <x:c r="A32" s="73" t="str">
        <x:v>CMP-028</x:v>
      </x:c>
      <x:c r="B32" s="23" t="str">
        <x:v>TimelineHistory</x:v>
      </x:c>
      <x:c r="C32" s="23" t="str">
        <x:v>Task/Domain/TimelineHistory</x:v>
      </x:c>
      <x:c r="D32" s="23" t="str">
        <x:v>P1</x:v>
      </x:c>
      <x:c r="E32" s="23" t="str">
        <x:v>Displays chronological authorized changes with actor, timestamp, action and redaction handling.</x:v>
      </x:c>
      <x:c r="F32" s="23" t="str">
        <x:v>Container; visible label/content; semantic icon where applicable; state/validation region; optional safe action</x:v>
      </x:c>
      <x:c r="G32" s="23" t="str">
        <x:v>loading | content | empty | partial</x:v>
      </x:c>
      <x:c r="H32" s="23" t="str">
        <x:v>Default; hover; focus; pressed; disabled where applicable</x:v>
      </x:c>
      <x:c r="I32" s="23" t="str">
        <x:v>NFR-002; NFR-003; NFR-004; NFR-005; NFR-021; NFR-023</x:v>
      </x:c>
      <x:c r="J32" s="23" t="str">
        <x:v>Native Tab/Shift+Tab order; Enter/Space activation; Escape only for dismissible overlays; arrows for list/tree/menu semantics</x:v>
      </x:c>
      <x:c r="K32" s="23" t="str">
        <x:v>Expose stable name, role, state and value; disabled/read-only/expanded/selected/current states must be programmatic</x:v>
      </x:c>
      <x:c r="L32" s="23" t="str">
        <x:v>No clipped meaning at Windows 200%; long Russian content wraps or truncates with an accessible full value</x:v>
      </x:c>
      <x:c r="M32" s="23" t="str">
        <x:v>Current server capability and object version remain authoritative.</x:v>
      </x:c>
      <x:c r="N32" s="23" t="str">
        <x:v>Prototype-verified</x:v>
      </x:c>
      <x:c r="O32" s="23" t="str">
        <x:v>work/stage_5_prototype/src/App.jsx#ProjectsSurface; work/stage_5_prototype/implementation-direction2-project-history.png</x:v>
      </x:c>
      <x:c r="P32" s="23" t="str">
        <x:v>Formal library frame, Windows runtime measurements and remaining module variants</x:v>
      </x:c>
      <x:c r="Q32" s="26" t="str">
        <x:v>0.9</x:v>
      </x:c>
    </x:row>
    <x:row r="33">
      <x:c r="A33" s="73" t="str">
        <x:v>CMP-029</x:v>
      </x:c>
      <x:c r="B33" s="23" t="str">
        <x:v>ProjectPicker</x:v>
      </x:c>
      <x:c r="C33" s="23" t="str">
        <x:v>Task/Domain/ProjectPicker</x:v>
      </x:c>
      <x:c r="D33" s="23" t="str">
        <x:v>P1</x:v>
      </x:c>
      <x:c r="E33" s="23" t="str">
        <x:v>Selects an authorized project and handles removed or unavailable targets without disclosure.</x:v>
      </x:c>
      <x:c r="F33" s="23" t="str">
        <x:v>Container; visible label/content; semantic icon where applicable; state/validation region; optional safe action</x:v>
      </x:c>
      <x:c r="G33" s="23" t="str">
        <x:v>loading | results | selected | unavailable</x:v>
      </x:c>
      <x:c r="H33" s="23" t="str">
        <x:v>Default; hover; focus; pressed; disabled where applicable</x:v>
      </x:c>
      <x:c r="I33" s="23" t="str">
        <x:v>NFR-002; NFR-003; NFR-004; NFR-005</x:v>
      </x:c>
      <x:c r="J33" s="23" t="str">
        <x:v>Native Tab/Shift+Tab order; Enter/Space activation; Escape only for dismissible overlays; arrows for list/tree/menu semantics</x:v>
      </x:c>
      <x:c r="K33" s="23" t="str">
        <x:v>Expose stable name, role, state and value; disabled/read-only/expanded/selected/current states must be programmatic</x:v>
      </x:c>
      <x:c r="L33" s="23" t="str">
        <x:v>No clipped meaning at Windows 200%; long Russian content wraps or truncates with an accessible full value</x:v>
      </x:c>
      <x:c r="M33" s="23" t="str">
        <x:v>Current server capability and object version remain authoritative.</x:v>
      </x:c>
      <x:c r="N33" s="23" t="str">
        <x:v>Prototype-verified</x:v>
      </x:c>
      <x:c r="O33" s="23" t="str">
        <x:v>work/stage_5_prototype/src/App.jsx#TaskEditorDialog; work/stage_5_prototype/design-qa-stage5-surfaces.md</x:v>
      </x:c>
      <x:c r="P33" s="23" t="str">
        <x:v>Formal library frame, Windows runtime measurements and remaining module variants</x:v>
      </x:c>
      <x:c r="Q33" s="26" t="str">
        <x:v>0.9</x:v>
      </x:c>
    </x:row>
    <x:row r="34">
      <x:c r="A34" s="73" t="str">
        <x:v>CMP-030</x:v>
      </x:c>
      <x:c r="B34" s="23" t="str">
        <x:v>FilterBar</x:v>
      </x:c>
      <x:c r="C34" s="23" t="str">
        <x:v>Task/Pattern/FilterBar</x:v>
      </x:c>
      <x:c r="D34" s="23" t="str">
        <x:v>P1</x:v>
      </x:c>
      <x:c r="E34" s="23" t="str">
        <x:v>Applies, clears and summarizes filters while preserving a deterministic filtered-empty recovery.</x:v>
      </x:c>
      <x:c r="F34" s="23" t="str">
        <x:v>Container; visible label/content; semantic icon where applicable; state/validation region; optional safe action</x:v>
      </x:c>
      <x:c r="G34" s="23" t="str">
        <x:v>empty | active | invalid | narrow</x:v>
      </x:c>
      <x:c r="H34" s="23" t="str">
        <x:v>Default; hover; focus; pressed; disabled where applicable</x:v>
      </x:c>
      <x:c r="I34" s="23" t="str">
        <x:v>NFR-002; NFR-003; NFR-004; NFR-005; NFR-008; NFR-025</x:v>
      </x:c>
      <x:c r="J34" s="23" t="str">
        <x:v>Native Tab/Shift+Tab order; Enter/Space activation; Escape only for dismissible overlays; arrows for list/tree/menu semantics</x:v>
      </x:c>
      <x:c r="K34" s="23" t="str">
        <x:v>Expose stable name, role, state and value; disabled/read-only/expanded/selected/current states must be programmatic</x:v>
      </x:c>
      <x:c r="L34" s="23" t="str">
        <x:v>No clipped meaning at Windows 200%; long Russian content wraps or truncates with an accessible full value</x:v>
      </x:c>
      <x:c r="M34" s="23" t="str">
        <x:v>Preserve accessible name, focus context and user input when the operation cannot complete.</x:v>
      </x:c>
      <x:c r="N34" s="23" t="str">
        <x:v>Prototype-verified</x:v>
      </x:c>
      <x:c r="O34" s="23" t="str">
        <x:v>work/stage_5_prototype/src/App.jsx#TasksSurface/SearchOverlay; work/stage_5_prototype/implementation-direction2-tasks-final.png</x:v>
      </x:c>
      <x:c r="P34" s="23" t="str">
        <x:v>Formal library frame, Windows runtime measurements and remaining module variants</x:v>
      </x:c>
      <x:c r="Q34" s="26" t="str">
        <x:v>0.9</x:v>
      </x:c>
    </x:row>
    <x:row r="35">
      <x:c r="A35" s="73" t="str">
        <x:v>CMP-031</x:v>
      </x:c>
      <x:c r="B35" s="23" t="str">
        <x:v>ReminderEditor</x:v>
      </x:c>
      <x:c r="C35" s="23" t="str">
        <x:v>Task/Domain/ReminderEditor</x:v>
      </x:c>
      <x:c r="D35" s="23" t="str">
        <x:v>P1</x:v>
      </x:c>
      <x:c r="E35" s="23" t="str">
        <x:v>Creates, edits or removes reminder timing with validation and target-availability recheck.</x:v>
      </x:c>
      <x:c r="F35" s="23" t="str">
        <x:v>Container; visible label/content; semantic icon where applicable; state/validation region; optional safe action</x:v>
      </x:c>
      <x:c r="G35" s="23" t="str">
        <x:v>none | scheduled | invalid | disabled</x:v>
      </x:c>
      <x:c r="H35" s="23" t="str">
        <x:v>Default; hover; focus; pressed; disabled where applicable</x:v>
      </x:c>
      <x:c r="I35" s="23" t="str">
        <x:v>NFR-002; NFR-003; NFR-004; NFR-005</x:v>
      </x:c>
      <x:c r="J35" s="23" t="str">
        <x:v>Native Tab/Shift+Tab order; Enter/Space activation; Escape only for dismissible overlays; arrows for list/tree/menu semantics</x:v>
      </x:c>
      <x:c r="K35" s="23" t="str">
        <x:v>Expose stable name, role, state and value; disabled/read-only/expanded/selected/current states must be programmatic</x:v>
      </x:c>
      <x:c r="L35" s="23" t="str">
        <x:v>No clipped meaning at Windows 200%; long Russian content wraps or truncates with an accessible full value</x:v>
      </x:c>
      <x:c r="M35" s="23" t="str">
        <x:v>Current server capability and object version remain authoritative.</x:v>
      </x:c>
      <x:c r="N35" s="23" t="str">
        <x:v>Prototype-verified</x:v>
      </x:c>
      <x:c r="O35" s="23" t="str">
        <x:v>work/stage_5_prototype/src/App.jsx#TaskEditorDialog; work/stage_5_prototype/implementation-direction2-task-scheduling-lower.png</x:v>
      </x:c>
      <x:c r="P35" s="23" t="str">
        <x:v>Formal library frame, Windows runtime measurements and remaining module variants</x:v>
      </x:c>
      <x:c r="Q35" s="26" t="str">
        <x:v>0.9</x:v>
      </x:c>
    </x:row>
    <x:row r="36">
      <x:c r="A36" s="73" t="str">
        <x:v>CMP-032</x:v>
      </x:c>
      <x:c r="B36" s="23" t="str">
        <x:v>FileLocationView</x:v>
      </x:c>
      <x:c r="C36" s="23" t="str">
        <x:v>Task/Domain/FileLocationView</x:v>
      </x:c>
      <x:c r="D36" s="23" t="str">
        <x:v>P1</x:v>
      </x:c>
      <x:c r="E36" s="23" t="str">
        <x:v>Shows verified file locations and separates unavailable, forbidden and diagnostic outcomes.</x:v>
      </x:c>
      <x:c r="F36" s="23" t="str">
        <x:v>Container; visible label/content; semantic icon where applicable; state/validation region; optional safe action</x:v>
      </x:c>
      <x:c r="G36" s="23" t="str">
        <x:v>available | unavailable | forbidden | diagnostics</x:v>
      </x:c>
      <x:c r="H36" s="23" t="str">
        <x:v>ObjectUnavailable; Forbidden; ServerUnavailable</x:v>
      </x:c>
      <x:c r="I36" s="23" t="str">
        <x:v>NFR-002; NFR-003; NFR-004; NFR-005; NFR-018; NFR-019; NFR-020</x:v>
      </x:c>
      <x:c r="J36" s="23" t="str">
        <x:v>Native Tab/Shift+Tab order; Enter/Space activation; Escape only for dismissible overlays; arrows for list/tree/menu semantics</x:v>
      </x:c>
      <x:c r="K36" s="23" t="str">
        <x:v>Expose stable name, role, state and value; disabled/read-only/expanded/selected/current states must be programmatic</x:v>
      </x:c>
      <x:c r="L36" s="23" t="str">
        <x:v>No clipped meaning at Windows 200%; long Russian content wraps or truncates with an accessible full value</x:v>
      </x:c>
      <x:c r="M36" s="23" t="str">
        <x:v>Current server capability and object version remain authoritative.</x:v>
      </x:c>
      <x:c r="N36" s="23" t="str">
        <x:v>Prototype-verified</x:v>
      </x:c>
      <x:c r="O36" s="23" t="str">
        <x:v>work/stage_5_prototype/src/App.jsx#task-details-file-location-view; work/stage_5_prototype/edge-file-location-unavailable.png</x:v>
      </x:c>
      <x:c r="P36" s="23" t="str">
        <x:v>Formal library frame, Windows runtime measurements and remaining module variants</x:v>
      </x:c>
      <x:c r="Q36" s="26" t="str">
        <x:v>0.9</x:v>
      </x:c>
    </x:row>
    <x:row r="37">
      <x:c r="A37" s="73" t="str">
        <x:v>CMP-033</x:v>
      </x:c>
      <x:c r="B37" s="23" t="str">
        <x:v>RecurrenceEditor</x:v>
      </x:c>
      <x:c r="C37" s="23" t="str">
        <x:v>Task/Domain/RecurrenceEditor</x:v>
      </x:c>
      <x:c r="D37" s="23" t="str">
        <x:v>P1</x:v>
      </x:c>
      <x:c r="E37" s="23" t="str">
        <x:v>Builds recurrence rules, exceptions and termination with preview and DST/conflict validation.</x:v>
      </x:c>
      <x:c r="F37" s="23" t="str">
        <x:v>Container; visible label/content; semantic icon where applicable; state/validation region; optional safe action</x:v>
      </x:c>
      <x:c r="G37" s="23" t="str">
        <x:v>none | rule | exception | invalid</x:v>
      </x:c>
      <x:c r="H37" s="23" t="str">
        <x:v>Default; hover; focus; pressed; disabled where applicable</x:v>
      </x:c>
      <x:c r="I37" s="23" t="str">
        <x:v>NFR-002; NFR-003; NFR-004; NFR-005; NFR-007</x:v>
      </x:c>
      <x:c r="J37" s="23" t="str">
        <x:v>Native Tab/Shift+Tab order; Enter/Space activation; Escape only for dismissible overlays; arrows for list/tree/menu semantics</x:v>
      </x:c>
      <x:c r="K37" s="23" t="str">
        <x:v>Expose stable name, role, state and value; disabled/read-only/expanded/selected/current states must be programmatic</x:v>
      </x:c>
      <x:c r="L37" s="23" t="str">
        <x:v>No clipped meaning at Windows 200%; long Russian content wraps or truncates with an accessible full value</x:v>
      </x:c>
      <x:c r="M37" s="23" t="str">
        <x:v>Current server capability and object version remain authoritative.</x:v>
      </x:c>
      <x:c r="N37" s="23" t="str">
        <x:v>Prototype-verified</x:v>
      </x:c>
      <x:c r="O37" s="23" t="str">
        <x:v>work/stage_5_prototype/src/App.jsx#TaskEditorDialog; work/stage_5_prototype/implementation-direction2-task-scheduling-lower.png</x:v>
      </x:c>
      <x:c r="P37" s="23" t="str">
        <x:v>Formal library frame, Windows runtime measurements and remaining module variants</x:v>
      </x:c>
      <x:c r="Q37" s="26" t="str">
        <x:v>0.9</x:v>
      </x:c>
    </x:row>
    <x:row r="38">
      <x:c r="A38" s="73" t="str">
        <x:v>CMP-034</x:v>
      </x:c>
      <x:c r="B38" s="23" t="str">
        <x:v>ProgressIndicator</x:v>
      </x:c>
      <x:c r="C38" s="23" t="str">
        <x:v>Task/State/ProgressIndicator</x:v>
      </x:c>
      <x:c r="D38" s="23" t="str">
        <x:v>P1</x:v>
      </x:c>
      <x:c r="E38" s="23" t="str">
        <x:v>Communicates determinate, indeterminate, paused or failed progress with a text equivalent.</x:v>
      </x:c>
      <x:c r="F38" s="23" t="str">
        <x:v>Container; visible label/content; semantic icon where applicable; state/validation region; optional safe action</x:v>
      </x:c>
      <x:c r="G38" s="23" t="str">
        <x:v>determinate | indeterminate | paused | failed</x:v>
      </x:c>
      <x:c r="H38" s="23" t="str">
        <x:v>Default; hover; focus; pressed; disabled where applicable</x:v>
      </x:c>
      <x:c r="I38" s="23" t="str">
        <x:v>NFR-002; NFR-003; NFR-004; NFR-005</x:v>
      </x:c>
      <x:c r="J38" s="23" t="str">
        <x:v>Native Tab/Shift+Tab order; Enter/Space activation; Escape only for dismissible overlays; arrows for list/tree/menu semantics</x:v>
      </x:c>
      <x:c r="K38" s="23" t="str">
        <x:v>Expose stable name, role, state and value; disabled/read-only/expanded/selected/current states must be programmatic</x:v>
      </x:c>
      <x:c r="L38" s="23" t="str">
        <x:v>No clipped meaning at Windows 200%; long Russian content wraps or truncates with an accessible full value</x:v>
      </x:c>
      <x:c r="M38" s="23" t="str">
        <x:v>Never rely on color alone; state text and a safe recovery consequence are required.</x:v>
      </x:c>
      <x:c r="N38" s="23" t="str">
        <x:v>Prototype-verified</x:v>
      </x:c>
      <x:c r="O38" s="23" t="str">
        <x:v>work/stage_5_prototype/src/App.jsx#AuthSurface/ProjectsSurface; work/stage_5_prototype/edge-bootstrap-repeated-failure.png</x:v>
      </x:c>
      <x:c r="P38" s="23" t="str">
        <x:v>Formal library frame, Windows runtime measurements and remaining module variants</x:v>
      </x:c>
      <x:c r="Q38" s="26" t="str">
        <x:v>0.9</x:v>
      </x:c>
    </x:row>
    <x:row r="39">
      <x:c r="A39" s="73" t="str">
        <x:v>CMP-035</x:v>
      </x:c>
      <x:c r="B39" s="23" t="str">
        <x:v>LifecycleBanner</x:v>
      </x:c>
      <x:c r="C39" s="23" t="str">
        <x:v>Task/State/LifecycleBanner</x:v>
      </x:c>
      <x:c r="D39" s="23" t="str">
        <x:v>P1</x:v>
      </x:c>
      <x:c r="E39" s="23" t="str">
        <x:v>Explains active/completed/archived/trashed lifecycle and the actions still allowed.</x:v>
      </x:c>
      <x:c r="F39" s="23" t="str">
        <x:v>Container; visible label/content; semantic icon where applicable; state/validation region; optional safe action</x:v>
      </x:c>
      <x:c r="G39" s="23" t="str">
        <x:v>active | completed | archived | trashed</x:v>
      </x:c>
      <x:c r="H39" s="23" t="str">
        <x:v>Archived; Trashed</x:v>
      </x:c>
      <x:c r="I39" s="23" t="str">
        <x:v>NFR-002; NFR-003; NFR-004; NFR-005</x:v>
      </x:c>
      <x:c r="J39" s="23" t="str">
        <x:v>Native Tab/Shift+Tab order; Enter/Space activation; Escape only for dismissible overlays; arrows for list/tree/menu semantics</x:v>
      </x:c>
      <x:c r="K39" s="23" t="str">
        <x:v>Expose stable name, role, state and value; disabled/read-only/expanded/selected/current states must be programmatic</x:v>
      </x:c>
      <x:c r="L39" s="23" t="str">
        <x:v>No clipped meaning at Windows 200%; long Russian content wraps or truncates with an accessible full value</x:v>
      </x:c>
      <x:c r="M39" s="23" t="str">
        <x:v>Never rely on color alone; state text and a safe recovery consequence are required.</x:v>
      </x:c>
      <x:c r="N39" s="23" t="str">
        <x:v>Prototype-verified</x:v>
      </x:c>
      <x:c r="O39" s="23" t="str">
        <x:v>work/stage_5_prototype/src/App.jsx#ProjectsSurface; work/stage_5_prototype/implementation-direction2-project-history.png</x:v>
      </x:c>
      <x:c r="P39" s="23" t="str">
        <x:v>Formal library frame, Windows runtime measurements and remaining module variants</x:v>
      </x:c>
      <x:c r="Q39" s="26" t="str">
        <x:v>0.9</x:v>
      </x:c>
    </x:row>
    <x:row r="40">
      <x:c r="A40" s="73" t="str">
        <x:v>CMP-036</x:v>
      </x:c>
      <x:c r="B40" s="23" t="str">
        <x:v>NotificationItem</x:v>
      </x:c>
      <x:c r="C40" s="23" t="str">
        <x:v>Task/Domain/NotificationItem</x:v>
      </x:c>
      <x:c r="D40" s="23" t="str">
        <x:v>P1</x:v>
      </x:c>
      <x:c r="E40" s="23" t="str">
        <x:v>Shows unread/read notification context and rechecks the target before applying an action.</x:v>
      </x:c>
      <x:c r="F40" s="23" t="str">
        <x:v>Container; visible label/content; semantic icon where applicable; state/validation region; optional safe action</x:v>
      </x:c>
      <x:c r="G40" s="23" t="str">
        <x:v>unread | read | unavailable-target | action-failed</x:v>
      </x:c>
      <x:c r="H40" s="23" t="str">
        <x:v>Default; hover; focus; pressed; disabled where applicable</x:v>
      </x:c>
      <x:c r="I40" s="23" t="str">
        <x:v>NFR-002; NFR-003; NFR-004; NFR-005; NFR-024</x:v>
      </x:c>
      <x:c r="J40" s="23" t="str">
        <x:v>Native Tab/Shift+Tab order; Enter/Space activation; Escape only for dismissible overlays; arrows for list/tree/menu semantics</x:v>
      </x:c>
      <x:c r="K40" s="23" t="str">
        <x:v>Expose stable name, role, state and value; disabled/read-only/expanded/selected/current states must be programmatic</x:v>
      </x:c>
      <x:c r="L40" s="23" t="str">
        <x:v>No clipped meaning at Windows 200%; long Russian content wraps or truncates with an accessible full value</x:v>
      </x:c>
      <x:c r="M40" s="23" t="str">
        <x:v>Recheck target/version/capability before action; changed targets show current state and no false success.</x:v>
      </x:c>
      <x:c r="N40" s="23" t="str">
        <x:v>Prototype-verified</x:v>
      </x:c>
      <x:c r="O40" s="23" t="str">
        <x:v>work/stage_5_prototype/src/App.jsx#NotificationCenter; work/stage_5_prototype/edge-notification-target-changed.png</x:v>
      </x:c>
      <x:c r="P40" s="23" t="str">
        <x:v>Formal library frame, Windows runtime measurements and remaining module variants</x:v>
      </x:c>
      <x:c r="Q40" s="26" t="str">
        <x:v>0.9</x:v>
      </x:c>
    </x:row>
    <x:row r="41">
      <x:c r="A41" s="73" t="str">
        <x:v>CMP-037</x:v>
      </x:c>
      <x:c r="B41" s="23" t="str">
        <x:v>SearchBox</x:v>
      </x:c>
      <x:c r="C41" s="23" t="str">
        <x:v>Task/Core/SearchBox</x:v>
      </x:c>
      <x:c r="D41" s="23" t="str">
        <x:v>P1</x:v>
      </x:c>
      <x:c r="E41" s="23" t="str">
        <x:v>Provides labelled query input, loading/results/no-results feedback and keyboard selection.</x:v>
      </x:c>
      <x:c r="F41" s="23" t="str">
        <x:v>Container; visible label/content; semantic icon where applicable; state/validation region; optional safe action</x:v>
      </x:c>
      <x:c r="G41" s="23" t="str">
        <x:v>idle | typing | loading | results | no-results</x:v>
      </x:c>
      <x:c r="H41" s="23" t="str">
        <x:v>Loading; Empty; FilteredEmpty; PartialAccess</x:v>
      </x:c>
      <x:c r="I41" s="23" t="str">
        <x:v>NFR-002; NFR-003; NFR-004; NFR-005; NFR-008; NFR-023; NFR-025</x:v>
      </x:c>
      <x:c r="J41" s="23" t="str">
        <x:v>Native Tab/Shift+Tab order; Enter/Space activation; Escape only for dismissible overlays; arrows for list/tree/menu semantics</x:v>
      </x:c>
      <x:c r="K41" s="23" t="str">
        <x:v>Expose stable name, role, state and value; disabled/read-only/expanded/selected/current states must be programmatic</x:v>
      </x:c>
      <x:c r="L41" s="23" t="str">
        <x:v>No clipped meaning at Windows 200%; long Russian content wraps or truncates with an accessible full value</x:v>
      </x:c>
      <x:c r="M41" s="23" t="str">
        <x:v>Preserve accessible name, focus context and user input when the operation cannot complete.</x:v>
      </x:c>
      <x:c r="N41" s="23" t="str">
        <x:v>Prototype-verified</x:v>
      </x:c>
      <x:c r="O41" s="23" t="str">
        <x:v>work/stage_5_prototype/src/App.jsx; work/stage_5_prototype/src/styles.css; work/stage_5_prototype/design-qa-stage5-surfaces.md</x:v>
      </x:c>
      <x:c r="P41" s="23" t="str">
        <x:v>Formal library frame, Windows runtime measurements and remaining module variants</x:v>
      </x:c>
      <x:c r="Q41" s="26" t="str">
        <x:v>0.9</x:v>
      </x:c>
    </x:row>
    <x:row r="42">
      <x:c r="A42" s="73" t="str">
        <x:v>CMP-038</x:v>
      </x:c>
      <x:c r="B42" s="23" t="str">
        <x:v>RedactionMarker</x:v>
      </x:c>
      <x:c r="C42" s="23" t="str">
        <x:v>Task/State/RedactionMarker</x:v>
      </x:c>
      <x:c r="D42" s="23" t="str">
        <x:v>P1</x:v>
      </x:c>
      <x:c r="E42" s="23" t="str">
        <x:v>Explains partial or unavailable access without revealing protected identity or object data.</x:v>
      </x:c>
      <x:c r="F42" s="23" t="str">
        <x:v>Container; visible label/content; semantic icon where applicable; state/validation region; optional safe action</x:v>
      </x:c>
      <x:c r="G42" s="23" t="str">
        <x:v>partial-access | unavailable | anonymized</x:v>
      </x:c>
      <x:c r="H42" s="23" t="str">
        <x:v>PartialAccess; ObjectUnavailable</x:v>
      </x:c>
      <x:c r="I42" s="23" t="str">
        <x:v>NFR-002; NFR-003; NFR-004; NFR-005</x:v>
      </x:c>
      <x:c r="J42" s="23" t="str">
        <x:v>Native Tab/Shift+Tab order; Enter/Space activation; Escape only for dismissible overlays; arrows for list/tree/menu semantics</x:v>
      </x:c>
      <x:c r="K42" s="23" t="str">
        <x:v>Expose stable name, role, state and value; disabled/read-only/expanded/selected/current states must be programmatic</x:v>
      </x:c>
      <x:c r="L42" s="23" t="str">
        <x:v>No clipped meaning at Windows 200%; long Russian content wraps or truncates with an accessible full value</x:v>
      </x:c>
      <x:c r="M42" s="23" t="str">
        <x:v>Server authorization is authoritative; hidden targets must not be disclosed.</x:v>
      </x:c>
      <x:c r="N42" s="23" t="str">
        <x:v>Prototype-verified</x:v>
      </x:c>
      <x:c r="O42" s="23" t="str">
        <x:v>work/stage_5_prototype/src/App.jsx; work/stage_5_prototype/src/styles.css; work/stage_5_prototype/design-qa-stage5-surfaces.md</x:v>
      </x:c>
      <x:c r="P42" s="23" t="str">
        <x:v>Formal library frame, Windows runtime measurements and remaining module variants</x:v>
      </x:c>
      <x:c r="Q42" s="26" t="str">
        <x:v>0.9</x:v>
      </x:c>
    </x:row>
    <x:row r="43">
      <x:c r="A43" s="73" t="str">
        <x:v>CMP-039</x:v>
      </x:c>
      <x:c r="B43" s="23" t="str">
        <x:v>Pagination</x:v>
      </x:c>
      <x:c r="C43" s="23" t="str">
        <x:v>Task/Pattern/Pagination</x:v>
      </x:c>
      <x:c r="D43" s="23" t="str">
        <x:v>P1</x:v>
      </x:c>
      <x:c r="E43" s="23" t="str">
        <x:v>Moves through stable result pages, exposes current page and disables impossible directions.</x:v>
      </x:c>
      <x:c r="F43" s="23" t="str">
        <x:v>Container; visible label/content; semantic icon where applicable; state/validation region; optional safe action</x:v>
      </x:c>
      <x:c r="G43" s="23" t="str">
        <x:v>first | middle | last | loading</x:v>
      </x:c>
      <x:c r="H43" s="23" t="str">
        <x:v>Default; hover; focus; pressed; disabled where applicable</x:v>
      </x:c>
      <x:c r="I43" s="23" t="str">
        <x:v>NFR-002; NFR-003; NFR-004; NFR-005; NFR-006; NFR-023; NFR-025</x:v>
      </x:c>
      <x:c r="J43" s="23" t="str">
        <x:v>Native Tab/Shift+Tab order; Enter/Space activation; Escape only for dismissible overlays; arrows for list/tree/menu semantics</x:v>
      </x:c>
      <x:c r="K43" s="23" t="str">
        <x:v>Expose stable name, role, state and value; disabled/read-only/expanded/selected/current states must be programmatic</x:v>
      </x:c>
      <x:c r="L43" s="23" t="str">
        <x:v>No clipped meaning at Windows 200%; long Russian content wraps or truncates with an accessible full value</x:v>
      </x:c>
      <x:c r="M43" s="23" t="str">
        <x:v>Preserve accessible name, focus context and user input when the operation cannot complete.</x:v>
      </x:c>
      <x:c r="N43" s="23" t="str">
        <x:v>Prototype-verified</x:v>
      </x:c>
      <x:c r="O43" s="23" t="str">
        <x:v>work/stage_5_prototype/src/App.jsx#TasksSurface; work/stage_5_prototype/implementation-direction2-tasks-final.png</x:v>
      </x:c>
      <x:c r="P43" s="23" t="str">
        <x:v>Formal library frame, Windows runtime measurements and remaining module variants</x:v>
      </x:c>
      <x:c r="Q43" s="26" t="str">
        <x:v>0.9</x:v>
      </x:c>
    </x:row>
    <x:row r="44">
      <x:c r="A44" s="73" t="str">
        <x:v>CMP-040</x:v>
      </x:c>
      <x:c r="B44" s="23" t="str">
        <x:v>PopoverSurface</x:v>
      </x:c>
      <x:c r="C44" s="23" t="str">
        <x:v>Task/Pattern/PopoverSurface</x:v>
      </x:c>
      <x:c r="D44" s="23" t="str">
        <x:v>P1</x:v>
      </x:c>
      <x:c r="E44" s="23" t="str">
        <x:v>Anchors a non-blocking surface, supports Escape/outside dismissal and returns focus to its invoker.</x:v>
      </x:c>
      <x:c r="F44" s="23" t="str">
        <x:v>Container; visible label/content; semantic icon where applicable; state/validation region; optional safe action</x:v>
      </x:c>
      <x:c r="G44" s="23" t="str">
        <x:v>open | loading | error | closing</x:v>
      </x:c>
      <x:c r="H44" s="23" t="str">
        <x:v>Default; hover; focus; pressed; disabled where applicable</x:v>
      </x:c>
      <x:c r="I44" s="23" t="str">
        <x:v>NFR-002; NFR-003; NFR-004; NFR-005</x:v>
      </x:c>
      <x:c r="J44" s="23" t="str">
        <x:v>Native Tab/Shift+Tab order; Enter/Space activation; Escape only for dismissible overlays; arrows for list/tree/menu semantics</x:v>
      </x:c>
      <x:c r="K44" s="23" t="str">
        <x:v>Expose stable name, role, state and value; disabled/read-only/expanded/selected/current states must be programmatic</x:v>
      </x:c>
      <x:c r="L44" s="23" t="str">
        <x:v>No clipped meaning at Windows 200%; long Russian content wraps or truncates with an accessible full value</x:v>
      </x:c>
      <x:c r="M44" s="23" t="str">
        <x:v>Preserve accessible name, focus context and user input when the operation cannot complete.</x:v>
      </x:c>
      <x:c r="N44" s="23" t="str">
        <x:v>Prototype-verified</x:v>
      </x:c>
      <x:c r="O44" s="23" t="str">
        <x:v>work/stage_5_prototype/src/App.jsx#NotificationCenter/ProfileMenu; work/stage_5_prototype/edge-notification-target-changed.png</x:v>
      </x:c>
      <x:c r="P44" s="23" t="str">
        <x:v>Formal library frame, Windows runtime measurements and remaining module variants</x:v>
      </x:c>
      <x:c r="Q44" s="26" t="str">
        <x:v>0.9</x:v>
      </x:c>
    </x:row>
    <x:row r="45">
      <x:c r="A45" s="73" t="str">
        <x:v>CMP-041</x:v>
      </x:c>
      <x:c r="B45" s="23" t="str">
        <x:v>ContextMenu</x:v>
      </x:c>
      <x:c r="C45" s="23" t="str">
        <x:v>Task/Pattern/ContextMenu</x:v>
      </x:c>
      <x:c r="D45" s="23" t="str">
        <x:v>P1</x:v>
      </x:c>
      <x:c r="E45" s="23" t="str">
        <x:v>Shows only capability-safe contextual actions and provides disabled reasons when disclosure is allowed.</x:v>
      </x:c>
      <x:c r="F45" s="23" t="str">
        <x:v>Container; visible label/content; semantic icon where applicable; state/validation region; optional safe action</x:v>
      </x:c>
      <x:c r="G45" s="23" t="str">
        <x:v>available | capability-filtered | disabled-with-reason</x:v>
      </x:c>
      <x:c r="H45" s="23" t="str">
        <x:v>Default; hover; focus; pressed; disabled where applicable</x:v>
      </x:c>
      <x:c r="I45" s="23" t="str">
        <x:v>NFR-002; NFR-003; NFR-004; NFR-005</x:v>
      </x:c>
      <x:c r="J45" s="23" t="str">
        <x:v>Native Tab/Shift+Tab order; Enter/Space activation; Escape only for dismissible overlays; arrows for list/tree/menu semantics</x:v>
      </x:c>
      <x:c r="K45" s="23" t="str">
        <x:v>Expose stable name, role, state and value; disabled/read-only/expanded/selected/current states must be programmatic</x:v>
      </x:c>
      <x:c r="L45" s="23" t="str">
        <x:v>No clipped meaning at Windows 200%; long Russian content wraps or truncates with an accessible full value</x:v>
      </x:c>
      <x:c r="M45" s="23" t="str">
        <x:v>Preserve accessible name, focus context and user input when the operation cannot complete.</x:v>
      </x:c>
      <x:c r="N45" s="23" t="str">
        <x:v>Prototype-verified</x:v>
      </x:c>
      <x:c r="O45" s="23" t="str">
        <x:v>work/stage_5_prototype/src/App.jsx#TasksSurface; work/stage_5_prototype/design-qa-stage5-component-gaps.md</x:v>
      </x:c>
      <x:c r="P45" s="23" t="str">
        <x:v>Formal library frame, Windows runtime measurements and remaining module variants</x:v>
      </x:c>
      <x:c r="Q45" s="26" t="str">
        <x:v>0.9</x:v>
      </x:c>
    </x:row>
    <x:row r="46">
      <x:c r="A46" s="73" t="str">
        <x:v>CMP-042</x:v>
      </x:c>
      <x:c r="B46" s="23" t="str">
        <x:v>BulkResultSummary</x:v>
      </x:c>
      <x:c r="C46" s="23" t="str">
        <x:v>Task/State/BulkResultSummary</x:v>
      </x:c>
      <x:c r="D46" s="23" t="str">
        <x:v>P2</x:v>
      </x:c>
      <x:c r="E46" s="23" t="str">
        <x:v>Summarizes successful, failed and retryable batch outcomes without hiding partial failure.</x:v>
      </x:c>
      <x:c r="F46" s="23" t="str">
        <x:v>Container; visible label/content; semantic icon where applicable; state/validation region; optional safe action</x:v>
      </x:c>
      <x:c r="G46" s="23" t="str">
        <x:v>success | partial | failed | retryable</x:v>
      </x:c>
      <x:c r="H46" s="23" t="str">
        <x:v>ObjectUnavailable</x:v>
      </x:c>
      <x:c r="I46" s="23" t="str">
        <x:v>NFR-002; NFR-003; NFR-004; NFR-005; NFR-025</x:v>
      </x:c>
      <x:c r="J46" s="23" t="str">
        <x:v>Native Tab/Shift+Tab order; Enter/Space activation; Escape only for dismissible overlays; arrows for list/tree/menu semantics</x:v>
      </x:c>
      <x:c r="K46" s="23" t="str">
        <x:v>Expose stable name, role, state and value; disabled/read-only/expanded/selected/current states must be programmatic</x:v>
      </x:c>
      <x:c r="L46" s="23" t="str">
        <x:v>No clipped meaning at Windows 200%; long Russian content wraps or truncates with an accessible full value</x:v>
      </x:c>
      <x:c r="M46" s="23" t="str">
        <x:v>Never rely on color alone; state text and a safe recovery consequence are required.</x:v>
      </x:c>
      <x:c r="N46" s="23" t="str">
        <x:v>Prototype-verified</x:v>
      </x:c>
      <x:c r="O46" s="23" t="str">
        <x:v>work/stage_5_prototype/src/App.jsx#TasksSurface; work/stage_5_prototype/implementation-direction2-bulk-actions.png</x:v>
      </x:c>
      <x:c r="P46" s="23" t="str">
        <x:v>Formal library frame, Windows runtime measurements and remaining module variants</x:v>
      </x:c>
      <x:c r="Q46" s="26" t="str">
        <x:v>0.9</x:v>
      </x:c>
    </x:row>
    <x:row r="47">
      <x:c r="A47" s="73" t="str">
        <x:v>CMP-043</x:v>
      </x:c>
      <x:c r="B47" s="23" t="str">
        <x:v>CommentThread</x:v>
      </x:c>
      <x:c r="C47" s="23" t="str">
        <x:v>Task/Domain/CommentThread</x:v>
      </x:c>
      <x:c r="D47" s="23" t="str">
        <x:v>P2</x:v>
      </x:c>
      <x:c r="E47" s="23" t="str">
        <x:v>Displays authorized comments, empty/loading states and safe unavailable behavior.</x:v>
      </x:c>
      <x:c r="F47" s="23" t="str">
        <x:v>Container; visible label/content; semantic icon where applicable; state/validation region; optional safe action</x:v>
      </x:c>
      <x:c r="G47" s="23" t="str">
        <x:v>loading | content | empty | unavailable</x:v>
      </x:c>
      <x:c r="H47" s="23" t="str">
        <x:v>Default; hover; focus; pressed; disabled where applicable</x:v>
      </x:c>
      <x:c r="I47" s="23" t="str">
        <x:v>NFR-002; NFR-003; NFR-004; NFR-005</x:v>
      </x:c>
      <x:c r="J47" s="23" t="str">
        <x:v>Native Tab/Shift+Tab order; Enter/Space activation; Escape only for dismissible overlays; arrows for list/tree/menu semantics</x:v>
      </x:c>
      <x:c r="K47" s="23" t="str">
        <x:v>Expose stable name, role, state and value; disabled/read-only/expanded/selected/current states must be programmatic</x:v>
      </x:c>
      <x:c r="L47" s="23" t="str">
        <x:v>No clipped meaning at Windows 200%; long Russian content wraps or truncates with an accessible full value</x:v>
      </x:c>
      <x:c r="M47" s="23" t="str">
        <x:v>Current server capability and object version remain authoritative.</x:v>
      </x:c>
      <x:c r="N47" s="23" t="str">
        <x:v>Prototype-verified</x:v>
      </x:c>
      <x:c r="O47" s="23" t="str">
        <x:v>work/stage_5_prototype/src/App.jsx; work/stage_5_prototype/src/styles.css; work/stage_5_prototype/design-qa-stage5-surfaces.md</x:v>
      </x:c>
      <x:c r="P47" s="23" t="str">
        <x:v>Formal library frame, Windows runtime measurements and remaining module variants</x:v>
      </x:c>
      <x:c r="Q47" s="26" t="str">
        <x:v>0.9</x:v>
      </x:c>
    </x:row>
    <x:row r="48">
      <x:c r="A48" s="73" t="str">
        <x:v>CMP-044</x:v>
      </x:c>
      <x:c r="B48" s="23" t="str">
        <x:v>SelectionBar</x:v>
      </x:c>
      <x:c r="C48" s="23" t="str">
        <x:v>Task/Pattern/SelectionBar</x:v>
      </x:c>
      <x:c r="D48" s="23" t="str">
        <x:v>P2</x:v>
      </x:c>
      <x:c r="E48" s="23" t="str">
        <x:v>Summarizes one/many selected items and exposes only actions valid for the current capability mix.</x:v>
      </x:c>
      <x:c r="F48" s="23" t="str">
        <x:v>Container; visible label/content; semantic icon where applicable; state/validation region; optional safe action</x:v>
      </x:c>
      <x:c r="G48" s="23" t="str">
        <x:v>single | multi | partial-capability | busy</x:v>
      </x:c>
      <x:c r="H48" s="23" t="str">
        <x:v>Default; hover; focus; pressed; disabled where applicable</x:v>
      </x:c>
      <x:c r="I48" s="23" t="str">
        <x:v>NFR-002; NFR-003; NFR-004; NFR-005</x:v>
      </x:c>
      <x:c r="J48" s="23" t="str">
        <x:v>Native Tab/Shift+Tab order; Enter/Space activation; Escape only for dismissible overlays; arrows for list/tree/menu semantics</x:v>
      </x:c>
      <x:c r="K48" s="23" t="str">
        <x:v>Expose stable name, role, state and value; disabled/read-only/expanded/selected/current states must be programmatic</x:v>
      </x:c>
      <x:c r="L48" s="23" t="str">
        <x:v>No clipped meaning at Windows 200%; long Russian content wraps or truncates with an accessible full value</x:v>
      </x:c>
      <x:c r="M48" s="23" t="str">
        <x:v>Preserve accessible name, focus context and user input when the operation cannot complete.</x:v>
      </x:c>
      <x:c r="N48" s="23" t="str">
        <x:v>Prototype-verified</x:v>
      </x:c>
      <x:c r="O48" s="23" t="str">
        <x:v>work/stage_5_prototype/src/App.jsx#TasksSurface; work/stage_5_prototype/implementation-direction2-bulk-actions.png</x:v>
      </x:c>
      <x:c r="P48" s="23" t="str">
        <x:v>Formal library frame, Windows runtime measurements and remaining module variants</x:v>
      </x:c>
      <x:c r="Q48" s="26" t="str">
        <x:v>0.9</x:v>
      </x:c>
    </x:row>
    <x:row r="49">
      <x:c r="A49" s="74" t="str">
        <x:v>CMP-045</x:v>
      </x:c>
      <x:c r="B49" s="30" t="str">
        <x:v>TreeView</x:v>
      </x:c>
      <x:c r="C49" s="30" t="str">
        <x:v>Task/Pattern/TreeView</x:v>
      </x:c>
      <x:c r="D49" s="30" t="str">
        <x:v>P2</x:v>
      </x:c>
      <x:c r="E49" s="30" t="str">
        <x:v>Presents expandable hierarchy with selected/expanded semantics and safe loading/unavailable children.</x:v>
      </x:c>
      <x:c r="F49" s="30" t="str">
        <x:v>Container; visible label/content; semantic icon where applicable; state/validation region; optional safe action</x:v>
      </x:c>
      <x:c r="G49" s="30" t="str">
        <x:v>collapsed | expanded | loading-children | unavailable</x:v>
      </x:c>
      <x:c r="H49" s="30" t="str">
        <x:v>Default; hover; focus; pressed; disabled where applicable</x:v>
      </x:c>
      <x:c r="I49" s="30" t="str">
        <x:v>NFR-002; NFR-003; NFR-004; NFR-005</x:v>
      </x:c>
      <x:c r="J49" s="30" t="str">
        <x:v>Native Tab/Shift+Tab order; Enter/Space activation; Escape only for dismissible overlays; arrows for list/tree/menu semantics</x:v>
      </x:c>
      <x:c r="K49" s="30" t="str">
        <x:v>Expose stable name, role, state and value; disabled/read-only/expanded/selected/current states must be programmatic</x:v>
      </x:c>
      <x:c r="L49" s="30" t="str">
        <x:v>No clipped meaning at Windows 200%; long Russian content wraps or truncates with an accessible full value</x:v>
      </x:c>
      <x:c r="M49" s="30" t="str">
        <x:v>Preserve accessible name, focus context and user input when the operation cannot complete.</x:v>
      </x:c>
      <x:c r="N49" s="30" t="str">
        <x:v>Prototype-verified</x:v>
      </x:c>
      <x:c r="O49" s="30" t="str">
        <x:v>work/stage_5_prototype/src/App.jsx#ProjectsSurface; work/stage_5_prototype/implementation-direction2-projects-final.png</x:v>
      </x:c>
      <x:c r="P49" s="30" t="str">
        <x:v>Formal library frame, Windows runtime measurements and remaining module variants</x:v>
      </x:c>
      <x:c r="Q49" s="33" t="str">
        <x:v>0.9</x:v>
      </x:c>
    </x:row>
  </x:sheetData>
  <x:mergeCells>
    <x:mergeCell ref="A1:Q2"/>
    <x:mergeCell ref="A3:Q3"/>
  </x:mergeCells>
  <x:conditionalFormatting sqref="N5:N49">
    <x:cfRule type="containsText" dxfId="24" priority="1" operator="containsText" text="Prototype-verified"/>
    <x:cfRule type="containsText" dxfId="25" priority="2" operator="containsText" text="Partially verified"/>
    <x:cfRule type="containsText" dxfId="26" priority="3" operator="containsText" text="Specified"/>
  </x:conditionalFormatting>
  <x:pageMargins left="0.7" right="0.7" top="0.75" bottom="0.75" header="0.3" footer="0.3"/>
  <x:tableParts count="1">
    <x:tablePart xmlns:r="http://schemas.openxmlformats.org/officeDocument/2006/relationships" r:id="R79344e4eedf04db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6" hidden="0" customWidth="1"/>
    <x:col min="4" max="4" width="24" hidden="0" customWidth="1"/>
    <x:col min="5" max="5" width="24" hidden="0" customWidth="1"/>
    <x:col min="6" max="6" width="34" hidden="0" customWidth="1"/>
    <x:col min="7" max="7" width="30" hidden="0" customWidth="1"/>
    <x:col min="8" max="8" width="34" hidden="0" customWidth="1"/>
    <x:col min="9" max="9" width="30" hidden="0" customWidth="1"/>
    <x:col min="10" max="10" width="38" hidden="0" customWidth="1"/>
    <x:col min="11" max="11" width="32" hidden="0" customWidth="1"/>
    <x:col min="12" max="12" width="44" hidden="0" customWidth="1"/>
    <x:col min="13" max="13" width="40" hidden="0" customWidth="1"/>
    <x:col min="14" max="14" width="46" hidden="0" customWidth="1"/>
    <x:col min="15" max="15" width="46" hidden="0" customWidth="1"/>
    <x:col min="16" max="16" width="32" hidden="0" customWidth="1"/>
    <x:col min="17" max="17" width="42" hidden="0" customWidth="1"/>
    <x:col min="18" max="18" width="22" hidden="0" customWidth="1"/>
    <x:col min="19" max="19" width="18" hidden="0" customWidth="1"/>
  </x:cols>
  <x:sheetData>
    <x:row r="1">
      <x:c r="A1" s="3" t="str">
        <x:v>Stage 5.2 — Vertical Slice Contracts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6" t="str">
        <x:v>10 P0 flow contracts across Auth, Task Creation, Search/Redaction and Resilience/Conflict. Contracts are ready; frames and prototype remain dependent on VIS-001.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4">
      <x:c r="A4" s="17" t="str">
        <x:v>Slice</x:v>
      </x:c>
      <x:c r="B4" s="18" t="str">
        <x:v>FLOW ID</x:v>
      </x:c>
      <x:c r="C4" s="18" t="str">
        <x:v>Flow</x:v>
      </x:c>
      <x:c r="D4" s="18" t="str">
        <x:v>Roles</x:v>
      </x:c>
      <x:c r="E4" s="18" t="str">
        <x:v>Permission</x:v>
      </x:c>
      <x:c r="F4" s="18" t="str">
        <x:v>API</x:v>
      </x:c>
      <x:c r="G4" s="18" t="str">
        <x:v>Outcome</x:v>
      </x:c>
      <x:c r="H4" s="18" t="str">
        <x:v>SCR references</x:v>
      </x:c>
      <x:c r="I4" s="18" t="str">
        <x:v>Entry points</x:v>
      </x:c>
      <x:c r="J4" s="18" t="str">
        <x:v>Required states</x:v>
      </x:c>
      <x:c r="K4" s="18" t="str">
        <x:v>Required errors</x:v>
      </x:c>
      <x:c r="L4" s="18" t="str">
        <x:v>Shared components</x:v>
      </x:c>
      <x:c r="M4" s="18" t="str">
        <x:v>Test fixture</x:v>
      </x:c>
      <x:c r="N4" s="18" t="str">
        <x:v>Critical-path acceptance</x:v>
      </x:c>
      <x:c r="O4" s="18" t="str">
        <x:v>Keyboard contract</x:v>
      </x:c>
      <x:c r="P4" s="18" t="str">
        <x:v>Required design evidence</x:v>
      </x:c>
      <x:c r="Q4" s="18" t="str">
        <x:v>Accessibility evidence</x:v>
      </x:c>
      <x:c r="R4" s="18" t="str">
        <x:v>Contract status</x:v>
      </x:c>
      <x:c r="S4" s="19" t="str">
        <x:v>Visual status</x:v>
      </x:c>
    </x:row>
    <x:row r="5">
      <x:c r="A5" s="73" t="str">
        <x:v>VS-01 Auth &amp; Bootstrap</x:v>
      </x:c>
      <x:c r="B5" s="23" t="str">
        <x:v>FLOW-001</x:v>
      </x:c>
      <x:c r="C5" s="23" t="str">
        <x:v>Первый вход</x:v>
      </x:c>
      <x:c r="D5" s="23" t="str">
        <x:v>Все роли</x:v>
      </x:c>
      <x:c r="E5" s="23" t="str">
        <x:v>Anonymous → Authenticated → Sync.Read</x:v>
      </x:c>
      <x:c r="F5" s="23" t="str">
        <x:v>auth/login; system/version; capabilities; sync/bootstrap/changes/ack; realtime/negotiate</x:v>
      </x:c>
      <x:c r="G5" s="23" t="str">
        <x:v>Active session, authorized cache, Today</x:v>
      </x:c>
      <x:c r="H5" s="23" t="str">
        <x:v>SCR-001; SCR-002; SCR-003; SCR-004; SCR-007</x:v>
      </x:c>
      <x:c r="I5" s="23" t="str">
        <x:v>Запуск; refresh failed; Первый запуск; connection error; Settings; После login; cursor expired; cache reset; После bootstrap; deep link; tray; 426; capability check</x:v>
      </x:c>
      <x:c r="J5" s="23" t="str">
        <x:v>loading; invalid; locked; blocked; unavailable; checking; TLS error; incompatible; dataset progress; reconnecting; scope changed; online; offline; syncing; maintenance; storage full; required; download/signature failure</x:v>
      </x:c>
      <x:c r="K5" s="23" t="str">
        <x:v>INVALID_CREDENTIALS; ACCOUNT_LOCKED_TEMPORARILY; ACCOUNT_BLOCKED; TIMEOUT; DEPENDENCY_UNAVAILABLE; CLIENT_VERSION_UNSUPPORTED; SYNC_SCOPE_CHANGED; SYNC_CURSOR_EXPIRED; DATABASE_UNAVAILABLE; SESSION_REVOKED; MAINTENANCE_MODE; STORAGE_FULL</x:v>
      </x:c>
      <x:c r="L5" s="23" t="str">
        <x:v>CommandBar; ConnectionStatus; ConnectivityBanner; DialogShell; ErrorMessage; FieldLabel; FileLocationView; FocusTrap; FormLayout; LoadingState; NavigationRail; PageLayout; Pagination; ProfileMenu; ProgressIndicator; ReadOnlyBanner; RecurrenceEditor; RetryAction; SearchBox; SemanticStatus; SurfaceTitle; ValidationMessage</x:v>
      </x:c>
      <x:c r="M5" s="23" t="str">
        <x:v>First-run Windows client; reachable approved LAN endpoint; valid employee credentials; empty authorized cache</x:v>
      </x:c>
      <x:c r="N5" s="23" t="str">
        <x:v>Configure/verify endpoint when required → authenticate → bootstrap authorized data → land in Shell/Today without stale unauthorized content</x:v>
      </x:c>
      <x:c r="O5" s="23" t="str">
        <x:v>Tab/Shift+Tab through endpoint and sign-in; Enter submits; Esc closes non-blocking dialog; focus returns to failing field or first actionable recovery</x:v>
      </x:c>
      <x:c r="P5" s="23" t="str">
        <x:v>Interactive prototype + keyboard walkthrough</x:v>
      </x:c>
      <x:c r="Q5" s="23" t="str">
        <x:v>Focus order/return; UIA names/roles/states; non-color semantics; Narrator/NVDA script; 200% scaling</x:v>
      </x:c>
      <x:c r="R5" s="23" t="str">
        <x:v>Scenario contract ready</x:v>
      </x:c>
      <x:c r="S5" s="26" t="str">
        <x:v>Pending VIS-001</x:v>
      </x:c>
    </x:row>
    <x:row r="6">
      <x:c r="A6" s="73" t="str">
        <x:v>VS-01 Auth &amp; Bootstrap</x:v>
      </x:c>
      <x:c r="B6" s="23" t="str">
        <x:v>FLOW-002</x:v>
      </x:c>
      <x:c r="C6" s="23" t="str">
        <x:v>Обычный вход</x:v>
      </x:c>
      <x:c r="D6" s="23" t="str">
        <x:v>Все роли</x:v>
      </x:c>
      <x:c r="E6" s="23" t="str">
        <x:v>Authenticated; Sync.Read</x:v>
      </x:c>
      <x:c r="F6" s="23" t="str">
        <x:v>auth/refresh; auth/session; sync/changes/ack</x:v>
      </x:c>
      <x:c r="G6" s="23" t="str">
        <x:v>Shell restored without stale unauthorized data</x:v>
      </x:c>
      <x:c r="H6" s="23" t="str">
        <x:v>SCR-001; SCR-003; SCR-004</x:v>
      </x:c>
      <x:c r="I6" s="23" t="str">
        <x:v>Запуск; refresh failed; После login; cursor expired; cache reset; После bootstrap; deep link; tray</x:v>
      </x:c>
      <x:c r="J6" s="23" t="str">
        <x:v>loading; invalid; locked; blocked; unavailable; dataset progress; reconnecting; scope changed; online; offline; syncing; maintenance; storage full</x:v>
      </x:c>
      <x:c r="K6" s="23" t="str">
        <x:v>INVALID_CREDENTIALS; ACCOUNT_LOCKED_TEMPORARILY; ACCOUNT_BLOCKED; SYNC_SCOPE_CHANGED; SYNC_CURSOR_EXPIRED; DATABASE_UNAVAILABLE; SESSION_REVOKED; MAINTENANCE_MODE; STORAGE_FULL</x:v>
      </x:c>
      <x:c r="L6" s="23" t="str">
        <x:v>CommandBar; ConnectionStatus; ConnectivityBanner; ErrorMessage; FieldLabel; FileLocationView; FormLayout; LoadingState; NavigationRail; PageLayout; Pagination; ProfileMenu; ProgressIndicator; ReadOnlyBanner; RecurrenceEditor; RetryAction; SearchBox; SemanticStatus; SurfaceTitle; ValidationMessage</x:v>
      </x:c>
      <x:c r="M6" s="23" t="str">
        <x:v>Previously signed-in employee; valid refresh session; populated authorized cache</x:v>
      </x:c>
      <x:c r="N6" s="23" t="str">
        <x:v>Refresh session → restore authorized Shell and cache → land on last safe context without exposing stale unauthorized data</x:v>
      </x:c>
      <x:c r="O6" s="23" t="str">
        <x:v>No pointer required; focus restores to safe Shell target after session refresh</x:v>
      </x:c>
      <x:c r="P6" s="23" t="str">
        <x:v>Interactive prototype + keyboard walkthrough</x:v>
      </x:c>
      <x:c r="Q6" s="23" t="str">
        <x:v>Focus order/return; UIA names/roles/states; non-color semantics; Narrator/NVDA script; 200% scaling</x:v>
      </x:c>
      <x:c r="R6" s="23" t="str">
        <x:v>Scenario contract ready</x:v>
      </x:c>
      <x:c r="S6" s="26" t="str">
        <x:v>Pending VIS-001</x:v>
      </x:c>
    </x:row>
    <x:row r="7">
      <x:c r="A7" s="73" t="str">
        <x:v>VS-02 Task Creation</x:v>
      </x:c>
      <x:c r="B7" s="23" t="str">
        <x:v>FLOW-004</x:v>
      </x:c>
      <x:c r="C7" s="23" t="str">
        <x:v>Создание задачи</x:v>
      </x:c>
      <x:c r="D7" s="23" t="str">
        <x:v>Admin/Manager/Employee with capability</x:v>
      </x:c>
      <x:c r="E7" s="23" t="str">
        <x:v>Task.Create + related capabilities</x:v>
      </x:c>
      <x:c r="F7" s="23" t="str">
        <x:v>POST /tasks + optional related endpoints</x:v>
      </x:c>
      <x:c r="G7" s="23" t="str">
        <x:v>Versioned Task created</x:v>
      </x:c>
      <x:c r="H7" s="23" t="str">
        <x:v>SCR-023; SCR-024; SCR-028; SCR-029</x:v>
      </x:c>
      <x:c r="I7" s="23" t="str">
        <x:v>Create/Edit; List/Today/Calendar/Search/Notification/deep link; Task/Event details; Settings; Task details/editor</x:v>
      </x:c>
      <x:c r="J7" s="23" t="str">
        <x:v>dirty; validation; conflict; archived; trashed; field forbidden; loading; stale; partial; unavailable; invalid time; offline; target unavailable; partial directory; inactive user</x:v>
      </x:c>
      <x:c r="K7" s="23" t="str">
        <x:v>VERSION_CONFLICT; PRECONDITION_REQUIRED; OBJECT_ARCHIVED; OBJECT_DELETED; OBJECT_NOT_VISIBLE; FORBIDDEN; VALIDATION_FAILED</x:v>
      </x:c>
      <x:c r="L7" s="23" t="str">
        <x:v>CommentThread; ConflictNotice; ConnectivityBanner; DataList; DateTimePicker; DialogShell; ErrorMessage;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M7" s="23" t="str">
        <x:v>Authenticated user with Task create capability; populated Today/Tasks data</x:v>
      </x:c>
      <x:c r="N7" s="23" t="str">
        <x:v>Open editor → validate required fields → create versioned Task → show authoritative result and return focus deterministically</x:v>
      </x:c>
      <x:c r="O7" s="23" t="str">
        <x:v>Tab/Shift+Tab across form; picker navigation with arrows; Enter confirms; Esc preserves draft/returns focus</x:v>
      </x:c>
      <x:c r="P7" s="23" t="str">
        <x:v>Interactive prototype + keyboard walkthrough</x:v>
      </x:c>
      <x:c r="Q7" s="23" t="str">
        <x:v>Focus order/return; UIA names/roles/states; non-color semantics; Narrator/NVDA script; 200% scaling</x:v>
      </x:c>
      <x:c r="R7" s="23" t="str">
        <x:v>Scenario contract ready</x:v>
      </x:c>
      <x:c r="S7" s="26" t="str">
        <x:v>Pending VIS-001</x:v>
      </x:c>
    </x:row>
    <x:row r="8">
      <x:c r="A8" s="73" t="str">
        <x:v>VS-02 Task Creation</x:v>
      </x:c>
      <x:c r="B8" s="23" t="str">
        <x:v>FLOW-005</x:v>
      </x:c>
      <x:c r="C8" s="23" t="str">
        <x:v>Быстрое создание задачи</x:v>
      </x:c>
      <x:c r="D8" s="23" t="str">
        <x:v>Admin/Manager/Employee</x:v>
      </x:c>
      <x:c r="E8" s="23" t="str">
        <x:v>Task.Create</x:v>
      </x:c>
      <x:c r="F8" s="23" t="str">
        <x:v>POST /tasks</x:v>
      </x:c>
      <x:c r="G8" s="23" t="str">
        <x:v>Minimal valid task</x:v>
      </x:c>
      <x:c r="H8" s="23" t="str">
        <x:v>SCR-008; SCR-022; SCR-024</x:v>
      </x:c>
      <x:c r="I8" s="23" t="str">
        <x:v>Ctrl+N; Ctrl+Shift+N; global button; tray; Today/Calendar slot; Project; List/Today/Calendar/Search/Notification/deep link</x:v>
      </x:c>
      <x:c r="J8" s="23" t="str">
        <x:v>validation; offline disabled; forbidden; offline; loading; stale; partial; archived; trashed; unavailable</x:v>
      </x:c>
      <x:c r="K8" s="23" t="str">
        <x:v>VALIDATION_FAILED; FORBIDDEN; DATABASE_UNAVAILABLE; OBJECT_NOT_VISIBLE; VERSION_CONFLICT</x:v>
      </x:c>
      <x:c r="L8" s="23" t="str">
        <x:v>CommentThread; ConflictNotice; ConnectivityBanner; DataList; DateTimePicker; DialogShell; ErrorMessage; FieldLabel; FileLocationView; FocusTrap; FormLayout; InspectorPanel; LifecycleBanner; LoadingState; PageLayout; PeoplePicker; PermissionState; PopoverSurface; ProgressIndicator; ReadOnlyBanner; RecurrenceEditor; ReminderEditor; RetryAction; SearchBox; SemanticStatus; SurfaceTitle; TaskRow; TaskStatusControl; TimelineHistory; UrgencyIndicator; ValidationMessage</x:v>
      </x:c>
      <x:c r="M8" s="23" t="str">
        <x:v>Authenticated user with quick-create capability; Shell available</x:v>
      </x:c>
      <x:c r="N8" s="23" t="str">
        <x:v>Open quick create → enter minimum valid task → submit → confirm creation and preserve keyboard context</x:v>
      </x:c>
      <x:c r="O8" s="23" t="str">
        <x:v>Shortcut opens quick create; Enter submits valid minimum; Esc closes and returns focus to invocation target</x:v>
      </x:c>
      <x:c r="P8" s="23" t="str">
        <x:v>Interactive prototype + keyboard walkthrough</x:v>
      </x:c>
      <x:c r="Q8" s="23" t="str">
        <x:v>Focus order/return; UIA names/roles/states; non-color semantics; Narrator/NVDA script; 200% scaling</x:v>
      </x:c>
      <x:c r="R8" s="23" t="str">
        <x:v>Scenario contract ready</x:v>
      </x:c>
      <x:c r="S8" s="26" t="str">
        <x:v>Pending VIS-001</x:v>
      </x:c>
    </x:row>
    <x:row r="9">
      <x:c r="A9" s="73" t="str">
        <x:v>VS-03 Search &amp; Redaction</x:v>
      </x:c>
      <x:c r="B9" s="23" t="str">
        <x:v>FLOW-019</x:v>
      </x:c>
      <x:c r="C9" s="23" t="str">
        <x:v>Глобальный поиск</x:v>
      </x:c>
      <x:c r="D9" s="23" t="str">
        <x:v>Все роли</x:v>
      </x:c>
      <x:c r="E9" s="23" t="str">
        <x:v>Search.Use</x:v>
      </x:c>
      <x:c r="F9" s="23" t="str">
        <x:v>GET /search/suggestions; GET /search</x:v>
      </x:c>
      <x:c r="G9" s="23" t="str">
        <x:v>Allowed target or explicit zero/partial result</x:v>
      </x:c>
      <x:c r="H9" s="23" t="str">
        <x:v>SCR-133; SCR-134; SCR-135; SCR-136</x:v>
      </x:c>
      <x:c r="I9" s="23" t="str">
        <x:v>Ctrl+F; shell search; SCR-133; deep link; SCR-133/134; Offline; timeout; scope change</x:v>
      </x:c>
      <x:c r="J9" s="23" t="str">
        <x:v>loading; empty; filtered empty; partial permission-safe; cursor invalid/expired; cursor restart; partial access; incompatible type; cursor reset; offline; timeout; scope changed</x:v>
      </x:c>
      <x:c r="K9" s="23" t="str">
        <x:v>VALIDATION_FAILED; SEARCH_CURSOR_INVALID; SEARCH_CURSOR_EXPIRED; FORBIDDEN; DATABASE_UNAVAILABLE; TIMEOUT; SYNC_SCOPE_CHANGED</x:v>
      </x:c>
      <x:c r="L9" s="23" t="str">
        <x:v>ConnectivityBanner; DataList; EmptyState; ErrorMessage; FieldLabel; FileLocationView; FilterBar; FormLayout; InspectorPanel; LoadingState; PageLayout; Pagination; PermissionState; PopoverSurface; ProgressIndicator; ProjectPicker; ReadOnlyBanner; RedactionMarker; RetryAction; SearchBox; SurfaceTitle; ValidationMessage</x:v>
      </x:c>
      <x:c r="M9" s="23" t="str">
        <x:v>Authenticated user; mixed task/project/employee results; at least one redacted or unavailable employee target</x:v>
      </x:c>
      <x:c r="N9" s="23" t="str">
        <x:v>Enter query → navigate grouped results by keyboard → show redaction/unavailable semantics → open only authorized target</x:v>
      </x:c>
      <x:c r="O9" s="23" t="str">
        <x:v>Shortcut focuses search; Up/Down navigates groups/results; Enter opens; Esc clears/closes in deterministic order</x:v>
      </x:c>
      <x:c r="P9" s="23" t="str">
        <x:v>Interactive prototype + keyboard walkthrough</x:v>
      </x:c>
      <x:c r="Q9" s="23" t="str">
        <x:v>Focus order/return; UIA names/roles/states; non-color semantics; Narrator/NVDA script; 200% scaling</x:v>
      </x:c>
      <x:c r="R9" s="23" t="str">
        <x:v>Scenario contract ready</x:v>
      </x:c>
      <x:c r="S9" s="26" t="str">
        <x:v>Pending VIS-001</x:v>
      </x:c>
    </x:row>
    <x:row r="10">
      <x:c r="A10" s="73" t="str">
        <x:v>VS-04 Resilience &amp; Conflict</x:v>
      </x:c>
      <x:c r="B10" s="23" t="str">
        <x:v>FLOW-022</x:v>
      </x:c>
      <x:c r="C10" s="23" t="str">
        <x:v>Потеря сервера</x:v>
      </x:c>
      <x:c r="D10" s="23" t="str">
        <x:v>Все logged-in</x:v>
      </x:c>
      <x:c r="E10" s="23" t="str">
        <x:v>Authenticated</x:v>
      </x:c>
      <x:c r="F10" s="23" t="str">
        <x:v>Health/sync/realtime; no business writes</x:v>
      </x:c>
      <x:c r="G10" s="23" t="str">
        <x:v>Honest read-only/degraded mode</x:v>
      </x:c>
      <x:c r="H10" s="23" t="str">
        <x:v>SCR-004; SCR-160; SCR-206</x:v>
      </x:c>
      <x:c r="I10" s="23" t="str">
        <x:v>После bootstrap; deep link; tray; Status bar click; Global status click</x:v>
      </x:c>
      <x:c r="J10" s="23" t="str">
        <x:v>online; offline; syncing; maintenance; storage full; reconnecting; pending; scope changed; cursor expired</x:v>
      </x:c>
      <x:c r="K10" s="23" t="str">
        <x:v>SESSION_REVOKED; MAINTENANCE_MODE; STORAGE_FULL; SYNC_CURSOR_EXPIRED; SYNC_SCOPE_CHANGED</x:v>
      </x:c>
      <x:c r="L10" s="23" t="str">
        <x:v>CommandBar; ConnectionStatus; ConnectivityBanner; DateTimePicker; ErrorMessage; FieldLabel; FileLocationView; FormLayout; InspectorPanel; LoadingState; NavigationRail; Pagination; PopoverSurface; ProfileMenu; ProgressIndicator; ReadOnlyBanner; RetryAction; SearchBox; SemanticStatus; SurfaceTitle; ValidationMessage</x:v>
      </x:c>
      <x:c r="M10" s="23" t="str">
        <x:v>Authenticated user with populated cache; server becomes unavailable during normal work</x:v>
      </x:c>
      <x:c r="N10" s="23" t="str">
        <x:v>Detect outage → announce connection loss → switch to honest read-only cache mode → expose diagnostics/retry without accepting writes</x:v>
      </x:c>
      <x:c r="O10" s="23" t="str">
        <x:v>Banner/status reachable without focus theft; retry/diagnostics keyboard operable</x:v>
      </x:c>
      <x:c r="P10" s="23" t="str">
        <x:v>Interactive prototype + keyboard walkthrough</x:v>
      </x:c>
      <x:c r="Q10" s="23" t="str">
        <x:v>Focus order/return; UIA names/roles/states; non-color semantics; Narrator/NVDA script; 200% scaling</x:v>
      </x:c>
      <x:c r="R10" s="23" t="str">
        <x:v>Scenario contract ready</x:v>
      </x:c>
      <x:c r="S10" s="26" t="str">
        <x:v>Pending VIS-001</x:v>
      </x:c>
    </x:row>
    <x:row r="11">
      <x:c r="A11" s="73" t="str">
        <x:v>VS-04 Resilience &amp; Conflict</x:v>
      </x:c>
      <x:c r="B11" s="23" t="str">
        <x:v>FLOW-023</x:v>
      </x:c>
      <x:c r="C11" s="23" t="str">
        <x:v>Работа в read-only cache</x:v>
      </x:c>
      <x:c r="D11" s="23" t="str">
        <x:v>Все роли</x:v>
      </x:c>
      <x:c r="E11" s="23" t="str">
        <x:v>Last-known read only</x:v>
      </x:c>
      <x:c r="F11" s="23" t="str">
        <x:v>Local cache; Windows file access</x:v>
      </x:c>
      <x:c r="G11" s="23" t="str">
        <x:v>Inspect prior data without freshness claim</x:v>
      </x:c>
      <x:c r="H11" s="23" t="str">
        <x:v>SCR-004; SCR-160; SCR-206</x:v>
      </x:c>
      <x:c r="I11" s="23" t="str">
        <x:v>После bootstrap; deep link; tray; Status bar click; Global status click</x:v>
      </x:c>
      <x:c r="J11" s="23" t="str">
        <x:v>online; offline; syncing; maintenance; storage full; reconnecting; pending; scope changed; cursor expired</x:v>
      </x:c>
      <x:c r="K11" s="23" t="str">
        <x:v>SESSION_REVOKED; MAINTENANCE_MODE; STORAGE_FULL; SYNC_CURSOR_EXPIRED; SYNC_SCOPE_CHANGED</x:v>
      </x:c>
      <x:c r="L11" s="23" t="str">
        <x:v>CommandBar; ConnectionStatus; ConnectivityBanner; DateTimePicker; ErrorMessage; FieldLabel; FileLocationView; FormLayout; InspectorPanel; LoadingState; NavigationRail; Pagination; PopoverSurface; ProfileMenu; ProgressIndicator; ReadOnlyBanner; RetryAction; SearchBox; SemanticStatus; SurfaceTitle; ValidationMessage</x:v>
      </x:c>
      <x:c r="M11" s="23" t="str">
        <x:v>Server unavailable; authorized cache available; business writes must be prevented</x:v>
      </x:c>
      <x:c r="N11" s="23" t="str">
        <x:v>Browse authorized cached data → disable prohibited writes with reasons → preserve selection/focus and disclose staleness</x:v>
      </x:c>
      <x:c r="O11" s="23" t="str">
        <x:v>Disabled actions expose reason without dead-end focus; list and inspector remain keyboard navigable</x:v>
      </x:c>
      <x:c r="P11" s="23" t="str">
        <x:v>Interactive prototype + keyboard walkthrough</x:v>
      </x:c>
      <x:c r="Q11" s="23" t="str">
        <x:v>Focus order/return; UIA names/roles/states; non-color semantics; Narrator/NVDA script; 200% scaling</x:v>
      </x:c>
      <x:c r="R11" s="23" t="str">
        <x:v>Scenario contract ready</x:v>
      </x:c>
      <x:c r="S11" s="26" t="str">
        <x:v>Pending VIS-001</x:v>
      </x:c>
    </x:row>
    <x:row r="12">
      <x:c r="A12" s="73" t="str">
        <x:v>VS-04 Resilience &amp; Conflict</x:v>
      </x:c>
      <x:c r="B12" s="23" t="str">
        <x:v>FLOW-024</x:v>
      </x:c>
      <x:c r="C12" s="23" t="str">
        <x:v>Восстановление соединения</x:v>
      </x:c>
      <x:c r="D12" s="23" t="str">
        <x:v>Все роли</x:v>
      </x:c>
      <x:c r="E12" s="23" t="str">
        <x:v>Sync.Read</x:v>
      </x:c>
      <x:c r="F12" s="23" t="str">
        <x:v>auth/session; sync/changes/ack/bootstrap; capabilities</x:v>
      </x:c>
      <x:c r="G12" s="23" t="str">
        <x:v>Current authorized cache and online writes</x:v>
      </x:c>
      <x:c r="H12" s="23" t="str">
        <x:v>SCR-003; SCR-004; SCR-160; SCR-206</x:v>
      </x:c>
      <x:c r="I12" s="23" t="str">
        <x:v>После login; cursor expired; cache reset; После bootstrap; deep link; tray; Status bar click; Global status click</x:v>
      </x:c>
      <x:c r="J12" s="23" t="str">
        <x:v>dataset progress; reconnecting; scope changed; online; offline; syncing; maintenance; storage full; pending; cursor expired</x:v>
      </x:c>
      <x:c r="K12" s="23" t="str">
        <x:v>SYNC_SCOPE_CHANGED; SYNC_CURSOR_EXPIRED; DATABASE_UNAVAILABLE; SESSION_REVOKED; MAINTENANCE_MODE; STORAGE_FULL</x:v>
      </x:c>
      <x:c r="L12" s="23" t="str">
        <x:v>CommandBar; ConnectionStatus; ConnectivityBanner; DateTimePicker; ErrorMessage; FieldLabel; FileLocationView; FormLayout; InspectorPanel; LoadingState; NavigationRail; PageLayout; Pagination; PopoverSurface; ProfileMenu; ProgressIndicator; ReadOnlyBanner; RecurrenceEditor; RetryAction; SearchBox; SemanticStatus; SurfaceTitle; ValidationMessage</x:v>
      </x:c>
      <x:c r="M12" s="23" t="str">
        <x:v>Client in read-only/reconnecting mode; server returns; cursor and scope require validation</x:v>
      </x:c>
      <x:c r="N12" s="23" t="str">
        <x:v>Reconnect → authenticate/synchronize → validate cursor/scope → refresh content → restore write capability only after authoritative readiness</x:v>
      </x:c>
      <x:c r="O12" s="23" t="str">
        <x:v>Reconnection announcements do not steal focus; refreshed target remains deterministic</x:v>
      </x:c>
      <x:c r="P12" s="23" t="str">
        <x:v>Interactive prototype + keyboard walkthrough</x:v>
      </x:c>
      <x:c r="Q12" s="23" t="str">
        <x:v>Focus order/return; UIA names/roles/states; non-color semantics; Narrator/NVDA script; 200% scaling</x:v>
      </x:c>
      <x:c r="R12" s="23" t="str">
        <x:v>Scenario contract ready</x:v>
      </x:c>
      <x:c r="S12" s="26" t="str">
        <x:v>Pending VIS-001</x:v>
      </x:c>
    </x:row>
    <x:row r="13">
      <x:c r="A13" s="73" t="str">
        <x:v>VS-04 Resilience &amp; Conflict</x:v>
      </x:c>
      <x:c r="B13" s="23" t="str">
        <x:v>FLOW-025</x:v>
      </x:c>
      <x:c r="C13" s="23" t="str">
        <x:v>Optimistic conflict</x:v>
      </x:c>
      <x:c r="D13" s="23" t="str">
        <x:v>Any editor</x:v>
      </x:c>
      <x:c r="E13" s="23" t="str">
        <x:v>Original command permission</x:v>
      </x:c>
      <x:c r="F13" s="23" t="str">
        <x:v>Target GET + original command</x:v>
      </x:c>
      <x:c r="G13" s="23" t="str">
        <x:v>No silent overwrite</x:v>
      </x:c>
      <x:c r="H13" s="23" t="str">
        <x:v>SCR-023; SCR-024; SCR-032</x:v>
      </x:c>
      <x:c r="I13" s="23" t="str">
        <x:v>Create/Edit; List/Today/Calendar/Search/Notification/deep link; VERSION_CONFLICT</x:v>
      </x:c>
      <x:c r="J13" s="23" t="str">
        <x:v>dirty; validation; conflict; archived; trashed; field forbidden; loading; stale; partial; unavailable; same field; different fields; deleted/completed/archived</x:v>
      </x:c>
      <x:c r="K13" s="23" t="str">
        <x:v>VERSION_CONFLICT; PRECONDITION_REQUIRED; OBJECT_ARCHIVED; OBJECT_DELETED; OBJECT_NOT_VISIBLE; FORBIDDEN</x:v>
      </x:c>
      <x:c r="L13" s="23" t="str">
        <x:v>CommentThread; ConflictNotice; ConnectivityBanner; DataList; DialogShell; FieldLabel; FileLocationView; FocusTrap; FormLayout; InspectorPanel; LifecycleBanner; LoadingState; PageLayout; PeoplePicker; PermissionState; ProgressIndicator; ReadOnlyBanner; RecurrenceEditor; ReminderEditor; RetryAction; SearchBox; SurfaceTitle; TaskRow; TaskStatusControl; TimelineHistory; UrgencyIndicator; ValidationMessage</x:v>
      </x:c>
      <x:c r="M13" s="23" t="str">
        <x:v>Editable task with local draft; server version changes before save</x:v>
      </x:c>
      <x:c r="N13" s="23" t="str">
        <x:v>Detect version conflict → preserve local draft → explain conflict → allow reload/compare/reapply/discard only where authorized</x:v>
      </x:c>
      <x:c r="O13" s="23" t="str">
        <x:v>Conflict actions and compare content are fully keyboard reachable; closing returns to preserved draft</x:v>
      </x:c>
      <x:c r="P13" s="23" t="str">
        <x:v>Interactive prototype + keyboard walkthrough</x:v>
      </x:c>
      <x:c r="Q13" s="23" t="str">
        <x:v>Focus order/return; UIA names/roles/states; non-color semantics; Narrator/NVDA script; 200% scaling</x:v>
      </x:c>
      <x:c r="R13" s="23" t="str">
        <x:v>Scenario contract ready</x:v>
      </x:c>
      <x:c r="S13" s="26" t="str">
        <x:v>Pending VIS-001</x:v>
      </x:c>
    </x:row>
    <x:row r="14">
      <x:c r="A14" s="74" t="str">
        <x:v>VS-02 Task Creation</x:v>
      </x:c>
      <x:c r="B14" s="30" t="str">
        <x:v>FLOW-034</x:v>
      </x:c>
      <x:c r="C14" s="30" t="str">
        <x:v>Inbox capture и conversion</x:v>
      </x:c>
      <x:c r="D14" s="30" t="str">
        <x:v>Admin/Manager/Employee</x:v>
      </x:c>
      <x:c r="E14" s="30" t="str">
        <x:v>Inbox.ManageOwn + target create</x:v>
      </x:c>
      <x:c r="F14" s="30" t="str">
        <x:v>Inbox create/update/convert</x:v>
      </x:c>
      <x:c r="G14" s="30" t="str">
        <x:v>Auditable target conversion</x:v>
      </x:c>
      <x:c r="H14" s="30" t="str">
        <x:v>SCR-012; SCR-013; SCR-014; SCR-022; SCR-082</x:v>
      </x:c>
      <x:c r="I14" s="30" t="str">
        <x:v>Alt+2; Selection/context action; Right click; Shift+F10; Ctrl+N; Today/Calendar slot; Project; Catalog command bar; file drag metadata intake</x:v>
      </x:c>
      <x:c r="J14" s="30" t="str">
        <x:v>empty; filtered; offline read-only; conflict; validation; target forbidden; duplicate; disabled reason; stale selection; offline; forbidden; unsafe path/type</x:v>
      </x:c>
      <x:c r="K14" s="30" t="str">
        <x:v>VERSION_CONFLICT; OBJECT_DELETED; FORBIDDEN; VALIDATION_FAILED; DUPLICATE_RESOURCE; DATABASE_UNAVAILABLE; UNSAFE_PATH; UNSAFE_FILE_TYPE</x:v>
      </x:c>
      <x:c r="L14" s="30" t="str">
        <x:v>BulkResultSummary; ConflictNotice; ConnectivityBanner; ContextMenu; DataList; DateTimePicker; DialogShell; EmptyState; ErrorMessage; FieldLabel; FileLocationView; FilterBar; FocusTrap; FormLayout; InspectorPanel; PageLayout; PeoplePicker; PermissionState; PopoverSurface; ProjectPicker; ReadOnlyBanner; RecurrenceEditor; ReminderEditor; RetryAction; SurfaceTitle; TaskRow; TaskStatusControl; UrgencyIndicator; ValidationMessage</x:v>
      </x:c>
      <x:c r="M14" s="30" t="str">
        <x:v>Authenticated user; Inbox capture exists and can be converted to a full task</x:v>
      </x:c>
      <x:c r="N14" s="30" t="str">
        <x:v>Capture Inbox item → open conversion path → add required task fields → create Task and resolve source Inbox item deterministically</x:v>
      </x:c>
      <x:c r="O14" s="30" t="str">
        <x:v>Capture and conversion complete with keyboard; validation focuses first invalid field; success returns to source context</x:v>
      </x:c>
      <x:c r="P14" s="30" t="str">
        <x:v>Interactive prototype + keyboard walkthrough</x:v>
      </x:c>
      <x:c r="Q14" s="30" t="str">
        <x:v>Focus order/return; UIA names/roles/states; non-color semantics; Narrator/NVDA script; 200% scaling</x:v>
      </x:c>
      <x:c r="R14" s="30" t="str">
        <x:v>Scenario contract ready</x:v>
      </x:c>
      <x:c r="S14" s="33" t="str">
        <x:v>Pending VIS-001</x:v>
      </x:c>
    </x:row>
  </x:sheetData>
  <x:mergeCells>
    <x:mergeCell ref="A1:S2"/>
    <x:mergeCell ref="A3:S3"/>
  </x:mergeCells>
  <x:conditionalFormatting sqref="R5:R14">
    <x:cfRule type="containsText" dxfId="27" priority="1" operator="containsText" text="ready"/>
  </x:conditionalFormatting>
  <x:conditionalFormatting sqref="S5:S14">
    <x:cfRule type="containsText" dxfId="28" priority="2" operator="containsText" text="VIS-001"/>
  </x:conditionalFormatting>
  <x:pageMargins left="0.7" right="0.7" top="0.75" bottom="0.75" header="0.3" footer="0.3"/>
  <x:tableParts count="1">
    <x:tablePart xmlns:r="http://schemas.openxmlformats.org/officeDocument/2006/relationships" r:id="R7efeecece3b74e9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8" hidden="0" customWidth="1"/>
    <x:col min="8" max="8" width="38" hidden="0" customWidth="1"/>
    <x:col min="9" max="9" width="32" hidden="0" customWidth="1"/>
    <x:col min="10" max="10" width="34" hidden="0" customWidth="1"/>
    <x:col min="11" max="11" width="38" hidden="0" customWidth="1"/>
    <x:col min="12" max="12" width="40" hidden="0" customWidth="1"/>
    <x:col min="13" max="13" width="32" hidden="0" customWidth="1"/>
    <x:col min="14" max="14" width="20" hidden="0" customWidth="1"/>
    <x:col min="15" max="15" width="18" hidden="0" customWidth="1"/>
  </x:cols>
  <x:sheetData>
    <x:row r="1">
      <x:c r="A1" s="3" t="str">
        <x:v>Stage 5.4 — Role/Capability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 t="str">
        <x:v>38 canonical screen/action contracts compare Admin, Manager, Employee and Observer while preserving capability-first, server-authoritative behavior.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17" t="str">
        <x:v>Role contract ID</x:v>
      </x:c>
      <x:c r="B4" s="18" t="str">
        <x:v>Screen/action</x:v>
      </x:c>
      <x:c r="C4" s="18" t="str">
        <x:v>Admin</x:v>
      </x:c>
      <x:c r="D4" s="18" t="str">
        <x:v>Manager</x:v>
      </x:c>
      <x:c r="E4" s="18" t="str">
        <x:v>Employee</x:v>
      </x:c>
      <x:c r="F4" s="18" t="str">
        <x:v>Observer</x:v>
      </x:c>
      <x:c r="G4" s="18" t="str">
        <x:v>Permission/capability</x:v>
      </x:c>
      <x:c r="H4" s="18" t="str">
        <x:v>UI/server policy</x:v>
      </x:c>
      <x:c r="I4" s="18" t="str">
        <x:v>Required presentation states</x:v>
      </x:c>
      <x:c r="J4" s="18" t="str">
        <x:v>Required components</x:v>
      </x:c>
      <x:c r="K4" s="18" t="str">
        <x:v>Design evidence</x:v>
      </x:c>
      <x:c r="L4" s="18" t="str">
        <x:v>Accessibility evidence</x:v>
      </x:c>
      <x:c r="M4" s="18" t="str">
        <x:v>Canonical source</x:v>
      </x:c>
      <x:c r="N4" s="18" t="str">
        <x:v>Contract status</x:v>
      </x:c>
      <x:c r="O4" s="19" t="str">
        <x:v>Visual status</x:v>
      </x:c>
    </x:row>
    <x:row r="5">
      <x:c r="A5" s="73" t="str">
        <x:v>ROLE-001</x:v>
      </x:c>
      <x:c r="B5" s="23" t="str">
        <x:v>Open own Today</x:v>
      </x:c>
      <x:c r="C5" s="23" t="str">
        <x:v>Available</x:v>
      </x:c>
      <x:c r="D5" s="23" t="str">
        <x:v>Available</x:v>
      </x:c>
      <x:c r="E5" s="23" t="str">
        <x:v>Available</x:v>
      </x:c>
      <x:c r="F5" s="23" t="str">
        <x:v>Available/read-only commands</x:v>
      </x:c>
      <x:c r="G5" s="23" t="str">
        <x:v>Calendar.Read</x:v>
      </x:c>
      <x:c r="H5" s="23" t="str">
        <x:v>Primary nav shown by capability</x:v>
      </x:c>
      <x:c r="I5" s="23" t="str">
        <x:v>CapabilityFiltered; ServerRecheck</x:v>
      </x:c>
      <x:c r="J5" s="23" t="str">
        <x:v>PermissionState; SemanticStatus; DateTimePicker; DataList</x:v>
      </x:c>
      <x:c r="K5" s="23" t="str">
        <x:v>Role comparison frame or component variant + capability/forbidden keyboard walkthrough</x:v>
      </x:c>
      <x:c r="L5" s="23" t="str">
        <x:v>Disabled reason announced; hidden controls absent from UIA tree; read-only state exposed; no hidden counts</x:v>
      </x:c>
      <x:c r="M5" s="23" t="str">
        <x:v>Stage 3 Role Interface Matrix — baseline</x:v>
      </x:c>
      <x:c r="N5" s="23" t="str">
        <x:v>Role contract ready</x:v>
      </x:c>
      <x:c r="O5" s="26" t="str">
        <x:v>Pending VIS-001</x:v>
      </x:c>
    </x:row>
    <x:row r="6">
      <x:c r="A6" s="73" t="str">
        <x:v>ROLE-002</x:v>
      </x:c>
      <x:c r="B6" s="23" t="str">
        <x:v>Switch Today to employee/department</x:v>
      </x:c>
      <x:c r="C6" s="23" t="str">
        <x:v>Global/scoped capability</x:v>
      </x:c>
      <x:c r="D6" s="23" t="str">
        <x:v>Own scope</x:v>
      </x:c>
      <x:c r="E6" s="23" t="str">
        <x:v>Usually hidden</x:v>
      </x:c>
      <x:c r="F6" s="23" t="str">
        <x:v>Hidden</x:v>
      </x:c>
      <x:c r="G6" s="23" t="str">
        <x:v>Calendar.Read + directory scope</x:v>
      </x:c>
      <x:c r="H6" s="23" t="str">
        <x:v>Hide if no alternative scope</x:v>
      </x:c>
      <x:c r="I6" s="23" t="str">
        <x:v>CapabilityFiltered; Hidden; ServerRecheck</x:v>
      </x:c>
      <x:c r="J6" s="23" t="str">
        <x:v>PermissionState; SemanticStatus; SearchBox; DataList; RedactionMarker; DateTimePicker; PageLayout; FormLayout</x:v>
      </x:c>
      <x:c r="K6" s="23" t="str">
        <x:v>Role comparison frame or component variant + capability/forbidden keyboard walkthrough</x:v>
      </x:c>
      <x:c r="L6" s="23" t="str">
        <x:v>Disabled reason announced; hidden controls absent from UIA tree; read-only state exposed; no hidden counts</x:v>
      </x:c>
      <x:c r="M6" s="23" t="str">
        <x:v>Stage 3 Role Interface Matrix — baseline</x:v>
      </x:c>
      <x:c r="N6" s="23" t="str">
        <x:v>Role contract ready</x:v>
      </x:c>
      <x:c r="O6" s="26" t="str">
        <x:v>Pending VIS-001</x:v>
      </x:c>
    </x:row>
    <x:row r="7">
      <x:c r="A7" s="73" t="str">
        <x:v>ROLE-003</x:v>
      </x:c>
      <x:c r="B7" s="23" t="str">
        <x:v>Create InboxItem</x:v>
      </x:c>
      <x:c r="C7" s="23" t="str">
        <x:v>Own</x:v>
      </x:c>
      <x:c r="D7" s="23" t="str">
        <x:v>Own</x:v>
      </x:c>
      <x:c r="E7" s="23" t="str">
        <x:v>Own</x:v>
      </x:c>
      <x:c r="F7" s="23" t="str">
        <x:v>Hidden without manage</x:v>
      </x:c>
      <x:c r="G7" s="23" t="str">
        <x:v>Inbox.ManageOwn</x:v>
      </x:c>
      <x:c r="H7" s="23" t="str">
        <x:v>Hide section without read/manage</x:v>
      </x:c>
      <x:c r="I7" s="23" t="str">
        <x:v>CapabilityFiltered; Hidden; ServerRecheck</x:v>
      </x:c>
      <x:c r="J7" s="23" t="str">
        <x:v>PermissionState; SemanticStatus; PageLayout; DataList</x:v>
      </x:c>
      <x:c r="K7" s="23" t="str">
        <x:v>Role comparison frame or component variant + capability/forbidden keyboard walkthrough</x:v>
      </x:c>
      <x:c r="L7" s="23" t="str">
        <x:v>Disabled reason announced; hidden controls absent from UIA tree; read-only state exposed; no hidden counts</x:v>
      </x:c>
      <x:c r="M7" s="23" t="str">
        <x:v>Stage 3 Role Interface Matrix — baseline</x:v>
      </x:c>
      <x:c r="N7" s="23" t="str">
        <x:v>Role contract ready</x:v>
      </x:c>
      <x:c r="O7" s="26" t="str">
        <x:v>Pending VIS-001</x:v>
      </x:c>
    </x:row>
    <x:row r="8">
      <x:c r="A8" s="73" t="str">
        <x:v>ROLE-004</x:v>
      </x:c>
      <x:c r="B8" s="23" t="str">
        <x:v>Create Task</x:v>
      </x:c>
      <x:c r="C8" s="23" t="str">
        <x:v>Allowed scope</x:v>
      </x:c>
      <x:c r="D8" s="23" t="str">
        <x:v>Project/department scope</x:v>
      </x:c>
      <x:c r="E8" s="23" t="str">
        <x:v>Allowed project/own scope</x:v>
      </x:c>
      <x:c r="F8" s="23" t="str">
        <x:v>Hidden</x:v>
      </x:c>
      <x:c r="G8" s="23" t="str">
        <x:v>Task.Create</x:v>
      </x:c>
      <x:c r="H8" s="23" t="str">
        <x:v>Picker returns only allowed targets</x:v>
      </x:c>
      <x:c r="I8" s="23" t="str">
        <x:v>CapabilityFiltered; ServerRecheck</x:v>
      </x:c>
      <x:c r="J8" s="23" t="str">
        <x:v>PermissionState; SemanticStatus; TaskRow; TaskStatusControl; InspectorPanel; FormLayout</x:v>
      </x:c>
      <x:c r="K8" s="23" t="str">
        <x:v>Role comparison frame or component variant + capability/forbidden keyboard walkthrough</x:v>
      </x:c>
      <x:c r="L8" s="23" t="str">
        <x:v>Disabled reason announced; hidden controls absent from UIA tree; read-only state exposed; no hidden counts</x:v>
      </x:c>
      <x:c r="M8" s="23" t="str">
        <x:v>Stage 3 Role Interface Matrix — baseline</x:v>
      </x:c>
      <x:c r="N8" s="23" t="str">
        <x:v>Role contract ready</x:v>
      </x:c>
      <x:c r="O8" s="26" t="str">
        <x:v>Pending VIS-001</x:v>
      </x:c>
    </x:row>
    <x:row r="9">
      <x:c r="A9" s="73" t="str">
        <x:v>ROLE-005</x:v>
      </x:c>
      <x:c r="B9" s="23" t="str">
        <x:v>Edit Task core fields</x:v>
      </x:c>
      <x:c r="C9" s="23" t="str">
        <x:v>Audited policy</x:v>
      </x:c>
      <x:c r="D9" s="23" t="str">
        <x:v>Scoped</x:v>
      </x:c>
      <x:c r="E9" s="23" t="str">
        <x:v>Field-level own/assigned/project</x:v>
      </x:c>
      <x:c r="F9" s="23" t="str">
        <x:v>Read-only</x:v>
      </x:c>
      <x:c r="G9" s="23" t="str">
        <x:v>Task.Update</x:v>
      </x:c>
      <x:c r="H9" s="23" t="str">
        <x:v>Disabled with reason when field relevant</x:v>
      </x:c>
      <x:c r="I9" s="23" t="str">
        <x:v>CapabilityFiltered; DisabledWithReason; ServerRecheck</x:v>
      </x:c>
      <x:c r="J9" s="23" t="str">
        <x:v>PermissionState; SemanticStatus; TaskRow; TaskStatusControl; InspectorPanel; FormLayout</x:v>
      </x:c>
      <x:c r="K9" s="23" t="str">
        <x:v>Role comparison frame or component variant + capability/forbidden keyboard walkthrough</x:v>
      </x:c>
      <x:c r="L9" s="23" t="str">
        <x:v>Disabled reason announced; hidden controls absent from UIA tree; read-only state exposed; no hidden counts</x:v>
      </x:c>
      <x:c r="M9" s="23" t="str">
        <x:v>Stage 3 Role Interface Matrix — baseline</x:v>
      </x:c>
      <x:c r="N9" s="23" t="str">
        <x:v>Role contract ready</x:v>
      </x:c>
      <x:c r="O9" s="26" t="str">
        <x:v>Pending VIS-001</x:v>
      </x:c>
    </x:row>
    <x:row r="10">
      <x:c r="A10" s="73" t="str">
        <x:v>ROLE-006</x:v>
      </x:c>
      <x:c r="B10" s="23" t="str">
        <x:v>Change Task status</x:v>
      </x:c>
      <x:c r="C10" s="23" t="str">
        <x:v>Capability</x:v>
      </x:c>
      <x:c r="D10" s="23" t="str">
        <x:v>Capability</x:v>
      </x:c>
      <x:c r="E10" s="23" t="str">
        <x:v>Allowed transitions for own/assigned</x:v>
      </x:c>
      <x:c r="F10" s="23" t="str">
        <x:v>Hidden/read-only</x:v>
      </x:c>
      <x:c r="G10" s="23" t="str">
        <x:v>Task.ChangeStatus</x:v>
      </x:c>
      <x:c r="H10" s="23" t="str">
        <x:v>Show applicable transitions only</x:v>
      </x:c>
      <x:c r="I10" s="23" t="str">
        <x:v>CapabilityFiltered; ServerRecheck</x:v>
      </x:c>
      <x:c r="J10" s="23" t="str">
        <x:v>PermissionState; SemanticStatus; TaskRow; TaskStatusControl; InspectorPanel; FormLayout</x:v>
      </x:c>
      <x:c r="K10" s="23" t="str">
        <x:v>Role comparison frame or component variant + capability/forbidden keyboard walkthrough</x:v>
      </x:c>
      <x:c r="L10" s="23" t="str">
        <x:v>Disabled reason announced; hidden controls absent from UIA tree; read-only state exposed; no hidden counts</x:v>
      </x:c>
      <x:c r="M10" s="23" t="str">
        <x:v>Stage 3 Role Interface Matrix — baseline</x:v>
      </x:c>
      <x:c r="N10" s="23" t="str">
        <x:v>Role contract ready</x:v>
      </x:c>
      <x:c r="O10" s="26" t="str">
        <x:v>Pending VIS-001</x:v>
      </x:c>
    </x:row>
    <x:row r="11">
      <x:c r="A11" s="73" t="str">
        <x:v>ROLE-007</x:v>
      </x:c>
      <x:c r="B11" s="23" t="str">
        <x:v>Assign assignee</x:v>
      </x:c>
      <x:c r="C11" s="23" t="str">
        <x:v>Capability</x:v>
      </x:c>
      <x:c r="D11" s="23" t="str">
        <x:v>Usually scoped</x:v>
      </x:c>
      <x:c r="E11" s="23" t="str">
        <x:v>Only explicit capability</x:v>
      </x:c>
      <x:c r="F11" s="23" t="str">
        <x:v>Hidden</x:v>
      </x:c>
      <x:c r="G11" s="23" t="str">
        <x:v>Task.Assign</x:v>
      </x:c>
      <x:c r="H11" s="23" t="str">
        <x:v>Hide if irrelevant; disable archived/offline</x:v>
      </x:c>
      <x:c r="I11" s="23" t="str">
        <x:v>CapabilityFiltered; Hidden; DisabledWithReason; ServerRecheck</x:v>
      </x:c>
      <x:c r="J11" s="23" t="str">
        <x:v>PermissionState; SemanticStatus; TaskRow; TaskStatusControl; InspectorPanel; FormLayout</x:v>
      </x:c>
      <x:c r="K11" s="23" t="str">
        <x:v>Role comparison frame or component variant + capability/forbidden keyboard walkthrough</x:v>
      </x:c>
      <x:c r="L11" s="23" t="str">
        <x:v>Disabled reason announced; hidden controls absent from UIA tree; read-only state exposed; no hidden counts</x:v>
      </x:c>
      <x:c r="M11" s="23" t="str">
        <x:v>Stage 3 Role Interface Matrix — baseline</x:v>
      </x:c>
      <x:c r="N11" s="23" t="str">
        <x:v>Role contract ready</x:v>
      </x:c>
      <x:c r="O11" s="26" t="str">
        <x:v>Pending VIS-001</x:v>
      </x:c>
    </x:row>
    <x:row r="12">
      <x:c r="A12" s="73" t="str">
        <x:v>ROLE-008</x:v>
      </x:c>
      <x:c r="B12" s="23" t="str">
        <x:v>Manage watchers</x:v>
      </x:c>
      <x:c r="C12" s="23" t="str">
        <x:v>Capability</x:v>
      </x:c>
      <x:c r="D12" s="23" t="str">
        <x:v>Scoped</x:v>
      </x:c>
      <x:c r="E12" s="23" t="str">
        <x:v>Capability</x:v>
      </x:c>
      <x:c r="F12" s="23" t="str">
        <x:v>Hidden</x:v>
      </x:c>
      <x:c r="G12" s="23" t="str">
        <x:v>Task.Watch</x:v>
      </x:c>
      <x:c r="H12" s="23" t="str">
        <x:v>Authorization-aware people picker</x:v>
      </x:c>
      <x:c r="I12" s="23" t="str">
        <x:v>CapabilityFiltered; ServerRecheck</x:v>
      </x:c>
      <x:c r="J12" s="23" t="str">
        <x:v>PermissionState; SemanticStatus; TaskRow; TaskStatusControl; InspectorPanel; FormLayout</x:v>
      </x:c>
      <x:c r="K12" s="23" t="str">
        <x:v>Role comparison frame or component variant + capability/forbidden keyboard walkthrough</x:v>
      </x:c>
      <x:c r="L12" s="23" t="str">
        <x:v>Disabled reason announced; hidden controls absent from UIA tree; read-only state exposed; no hidden counts</x:v>
      </x:c>
      <x:c r="M12" s="23" t="str">
        <x:v>Stage 3 Role Interface Matrix — baseline</x:v>
      </x:c>
      <x:c r="N12" s="23" t="str">
        <x:v>Role contract ready</x:v>
      </x:c>
      <x:c r="O12" s="26" t="str">
        <x:v>Pending VIS-001</x:v>
      </x:c>
    </x:row>
    <x:row r="13">
      <x:c r="A13" s="73" t="str">
        <x:v>ROLE-009</x:v>
      </x:c>
      <x:c r="B13" s="23" t="str">
        <x:v>Subtask/checklist</x:v>
      </x:c>
      <x:c r="C13" s="23" t="str">
        <x:v>Capability</x:v>
      </x:c>
      <x:c r="D13" s="23" t="str">
        <x:v>Scoped</x:v>
      </x:c>
      <x:c r="E13" s="23" t="str">
        <x:v>Capability</x:v>
      </x:c>
      <x:c r="F13" s="23" t="str">
        <x:v>Hidden</x:v>
      </x:c>
      <x:c r="G13" s="23" t="str">
        <x:v>Task.Create/Update/ChangeStatus</x:v>
      </x:c>
      <x:c r="H13" s="23" t="str">
        <x:v>Disabled archived/trashed/offline</x:v>
      </x:c>
      <x:c r="I13" s="23" t="str">
        <x:v>CapabilityFiltered; DisabledWithReason; ServerRecheck</x:v>
      </x:c>
      <x:c r="J13" s="23" t="str">
        <x:v>PermissionState; SemanticStatus; TaskRow; TaskStatusControl; InspectorPanel; FormLayout</x:v>
      </x:c>
      <x:c r="K13" s="23" t="str">
        <x:v>Role comparison frame or component variant + capability/forbidden keyboard walkthrough</x:v>
      </x:c>
      <x:c r="L13" s="23" t="str">
        <x:v>Disabled reason announced; hidden controls absent from UIA tree; read-only state exposed; no hidden counts</x:v>
      </x:c>
      <x:c r="M13" s="23" t="str">
        <x:v>Stage 3 Role Interface Matrix — baseline</x:v>
      </x:c>
      <x:c r="N13" s="23" t="str">
        <x:v>Role contract ready</x:v>
      </x:c>
      <x:c r="O13" s="26" t="str">
        <x:v>Pending VIS-001</x:v>
      </x:c>
    </x:row>
    <x:row r="14">
      <x:c r="A14" s="73" t="str">
        <x:v>ROLE-010</x:v>
      </x:c>
      <x:c r="B14" s="23" t="str">
        <x:v>Recurrence</x:v>
      </x:c>
      <x:c r="C14" s="23" t="str">
        <x:v>Capability</x:v>
      </x:c>
      <x:c r="D14" s="23" t="str">
        <x:v>Scoped</x:v>
      </x:c>
      <x:c r="E14" s="23" t="str">
        <x:v>Capability</x:v>
      </x:c>
      <x:c r="F14" s="23" t="str">
        <x:v>Hidden</x:v>
      </x:c>
      <x:c r="G14" s="23" t="str">
        <x:v>Task.ManageRecurrence</x:v>
      </x:c>
      <x:c r="H14" s="23" t="str">
        <x:v>Scope dialog mandatory</x:v>
      </x:c>
      <x:c r="I14" s="23" t="str">
        <x:v>CapabilityFiltered; ServerRecheck</x:v>
      </x:c>
      <x:c r="J14" s="23" t="str">
        <x:v>PermissionState; SemanticStatus; PageLayout; DataList</x:v>
      </x:c>
      <x:c r="K14" s="23" t="str">
        <x:v>Role comparison frame or component variant + capability/forbidden keyboard walkthrough</x:v>
      </x:c>
      <x:c r="L14" s="23" t="str">
        <x:v>Disabled reason announced; hidden controls absent from UIA tree; read-only state exposed; no hidden counts</x:v>
      </x:c>
      <x:c r="M14" s="23" t="str">
        <x:v>Stage 3 Role Interface Matrix — baseline</x:v>
      </x:c>
      <x:c r="N14" s="23" t="str">
        <x:v>Role contract ready</x:v>
      </x:c>
      <x:c r="O14" s="26" t="str">
        <x:v>Pending VIS-001</x:v>
      </x:c>
    </x:row>
    <x:row r="15">
      <x:c r="A15" s="73" t="str">
        <x:v>ROLE-011</x:v>
      </x:c>
      <x:c r="B15" s="23" t="str">
        <x:v>Bulk transition</x:v>
      </x:c>
      <x:c r="C15" s="23" t="str">
        <x:v>Capability</x:v>
      </x:c>
      <x:c r="D15" s="23" t="str">
        <x:v>Scoped</x:v>
      </x:c>
      <x:c r="E15" s="23" t="str">
        <x:v>Common allowed selection</x:v>
      </x:c>
      <x:c r="F15" s="23" t="str">
        <x:v>Hidden</x:v>
      </x:c>
      <x:c r="G15" s="23" t="str">
        <x:v>Task.ChangeStatus</x:v>
      </x:c>
      <x:c r="H15" s="23" t="str">
        <x:v>Capability intersection</x:v>
      </x:c>
      <x:c r="I15" s="23" t="str">
        <x:v>CapabilityFiltered; ServerRecheck</x:v>
      </x:c>
      <x:c r="J15" s="23" t="str">
        <x:v>PermissionState; SemanticStatus; PageLayout; DataList</x:v>
      </x:c>
      <x:c r="K15" s="23" t="str">
        <x:v>Role comparison frame or component variant + capability/forbidden keyboard walkthrough</x:v>
      </x:c>
      <x:c r="L15" s="23" t="str">
        <x:v>Disabled reason announced; hidden controls absent from UIA tree; read-only state exposed; no hidden counts</x:v>
      </x:c>
      <x:c r="M15" s="23" t="str">
        <x:v>Stage 3 Role Interface Matrix — baseline</x:v>
      </x:c>
      <x:c r="N15" s="23" t="str">
        <x:v>Role contract ready</x:v>
      </x:c>
      <x:c r="O15" s="26" t="str">
        <x:v>Pending VIS-001</x:v>
      </x:c>
    </x:row>
    <x:row r="16">
      <x:c r="A16" s="73" t="str">
        <x:v>ROLE-012</x:v>
      </x:c>
      <x:c r="B16" s="23" t="str">
        <x:v>View other calendars</x:v>
      </x:c>
      <x:c r="C16" s="23" t="str">
        <x:v>Global</x:v>
      </x:c>
      <x:c r="D16" s="23" t="str">
        <x:v>Department/project scope</x:v>
      </x:c>
      <x:c r="E16" s="23" t="str">
        <x:v>Explicit scope</x:v>
      </x:c>
      <x:c r="F16" s="23" t="str">
        <x:v>Project read-only scope</x:v>
      </x:c>
      <x:c r="G16" s="23" t="str">
        <x:v>Calendar.Read</x:v>
      </x:c>
      <x:c r="H16" s="23" t="str">
        <x:v>No hidden user/count disclosure</x:v>
      </x:c>
      <x:c r="I16" s="23" t="str">
        <x:v>CapabilityFiltered; Hidden; RedactedOrUnavailable; ServerRecheck</x:v>
      </x:c>
      <x:c r="J16" s="23" t="str">
        <x:v>PermissionState; SemanticStatus; DateTimePicker; DataList</x:v>
      </x:c>
      <x:c r="K16" s="23" t="str">
        <x:v>Role comparison frame or component variant + capability/forbidden keyboard walkthrough</x:v>
      </x:c>
      <x:c r="L16" s="23" t="str">
        <x:v>Disabled reason announced; hidden controls absent from UIA tree; read-only state exposed; no hidden counts</x:v>
      </x:c>
      <x:c r="M16" s="23" t="str">
        <x:v>Stage 3 Role Interface Matrix — baseline</x:v>
      </x:c>
      <x:c r="N16" s="23" t="str">
        <x:v>Role contract ready</x:v>
      </x:c>
      <x:c r="O16" s="26" t="str">
        <x:v>Pending VIS-001</x:v>
      </x:c>
    </x:row>
    <x:row r="17">
      <x:c r="A17" s="73" t="str">
        <x:v>ROLE-013</x:v>
      </x:c>
      <x:c r="B17" s="23" t="str">
        <x:v>Drag/resize schedule</x:v>
      </x:c>
      <x:c r="C17" s="23" t="str">
        <x:v>Capability</x:v>
      </x:c>
      <x:c r="D17" s="23" t="str">
        <x:v>Scoped</x:v>
      </x:c>
      <x:c r="E17" s="23" t="str">
        <x:v>Own/assigned if allowed</x:v>
      </x:c>
      <x:c r="F17" s="23" t="str">
        <x:v>Hidden</x:v>
      </x:c>
      <x:c r="G17" s="23" t="str">
        <x:v>Task.Update/CalendarEvent.Update</x:v>
      </x:c>
      <x:c r="H17" s="23" t="str">
        <x:v>Disable offline/archived; keyboard alternative</x:v>
      </x:c>
      <x:c r="I17" s="23" t="str">
        <x:v>CapabilityFiltered; DisabledWithReason; ServerRecheck</x:v>
      </x:c>
      <x:c r="J17" s="23" t="str">
        <x:v>PermissionState; SemanticStatus; PageLayout; DataList</x:v>
      </x:c>
      <x:c r="K17" s="23" t="str">
        <x:v>Role comparison frame or component variant + capability/forbidden keyboard walkthrough</x:v>
      </x:c>
      <x:c r="L17" s="23" t="str">
        <x:v>Disabled reason announced; hidden controls absent from UIA tree; read-only state exposed; no hidden counts</x:v>
      </x:c>
      <x:c r="M17" s="23" t="str">
        <x:v>Stage 3 Role Interface Matrix — baseline</x:v>
      </x:c>
      <x:c r="N17" s="23" t="str">
        <x:v>Role contract ready</x:v>
      </x:c>
      <x:c r="O17" s="26" t="str">
        <x:v>Pending VIS-001</x:v>
      </x:c>
    </x:row>
    <x:row r="18">
      <x:c r="A18" s="73" t="str">
        <x:v>ROLE-014</x:v>
      </x:c>
      <x:c r="B18" s="23" t="str">
        <x:v>Create Project</x:v>
      </x:c>
      <x:c r="C18" s="23" t="str">
        <x:v>Capability</x:v>
      </x:c>
      <x:c r="D18" s="23" t="str">
        <x:v>Usually available</x:v>
      </x:c>
      <x:c r="E18" s="23" t="str">
        <x:v>Only if granted</x:v>
      </x:c>
      <x:c r="F18" s="23" t="str">
        <x:v>Hidden</x:v>
      </x:c>
      <x:c r="G18" s="23" t="str">
        <x:v>Project.Create</x:v>
      </x:c>
      <x:c r="H18" s="23" t="str">
        <x:v>Hide create without capability</x:v>
      </x:c>
      <x:c r="I18" s="23" t="str">
        <x:v>CapabilityFiltered; Hidden; ServerRecheck</x:v>
      </x:c>
      <x:c r="J18" s="23" t="str">
        <x:v>PermissionState; SemanticStatus; DataList; InspectorPanel; FormLayout</x:v>
      </x:c>
      <x:c r="K18" s="23" t="str">
        <x:v>Role comparison frame or component variant + capability/forbidden keyboard walkthrough</x:v>
      </x:c>
      <x:c r="L18" s="23" t="str">
        <x:v>Disabled reason announced; hidden controls absent from UIA tree; read-only state exposed; no hidden counts</x:v>
      </x:c>
      <x:c r="M18" s="23" t="str">
        <x:v>Stage 3 Role Interface Matrix — baseline</x:v>
      </x:c>
      <x:c r="N18" s="23" t="str">
        <x:v>Role contract ready</x:v>
      </x:c>
      <x:c r="O18" s="26" t="str">
        <x:v>Pending VIS-001</x:v>
      </x:c>
    </x:row>
    <x:row r="19">
      <x:c r="A19" s="73" t="str">
        <x:v>ROLE-015</x:v>
      </x:c>
      <x:c r="B19" s="23" t="str">
        <x:v>Edit Project</x:v>
      </x:c>
      <x:c r="C19" s="23" t="str">
        <x:v>Capability</x:v>
      </x:c>
      <x:c r="D19" s="23" t="str">
        <x:v>Owned/managed</x:v>
      </x:c>
      <x:c r="E19" s="23" t="str">
        <x:v>Editor-limited</x:v>
      </x:c>
      <x:c r="F19" s="23" t="str">
        <x:v>Read-only</x:v>
      </x:c>
      <x:c r="G19" s="23" t="str">
        <x:v>Project.Update</x:v>
      </x:c>
      <x:c r="H19" s="23" t="str">
        <x:v>Field-level masks</x:v>
      </x:c>
      <x:c r="I19" s="23" t="str">
        <x:v>CapabilityFiltered; ServerRecheck</x:v>
      </x:c>
      <x:c r="J19" s="23" t="str">
        <x:v>PermissionState; SemanticStatus; DataList; InspectorPanel; FormLayout</x:v>
      </x:c>
      <x:c r="K19" s="23" t="str">
        <x:v>Role comparison frame or component variant + capability/forbidden keyboard walkthrough</x:v>
      </x:c>
      <x:c r="L19" s="23" t="str">
        <x:v>Disabled reason announced; hidden controls absent from UIA tree; read-only state exposed; no hidden counts</x:v>
      </x:c>
      <x:c r="M19" s="23" t="str">
        <x:v>Stage 3 Role Interface Matrix — baseline</x:v>
      </x:c>
      <x:c r="N19" s="23" t="str">
        <x:v>Role contract ready</x:v>
      </x:c>
      <x:c r="O19" s="26" t="str">
        <x:v>Pending VIS-001</x:v>
      </x:c>
    </x:row>
    <x:row r="20">
      <x:c r="A20" s="73" t="str">
        <x:v>ROLE-016</x:v>
      </x:c>
      <x:c r="B20" s="23" t="str">
        <x:v>Manage Project members</x:v>
      </x:c>
      <x:c r="C20" s="23" t="str">
        <x:v>Capability</x:v>
      </x:c>
      <x:c r="D20" s="23" t="str">
        <x:v>Owner/Manager</x:v>
      </x:c>
      <x:c r="E20" s="23" t="str">
        <x:v>Hidden</x:v>
      </x:c>
      <x:c r="F20" s="23" t="str">
        <x:v>Hidden</x:v>
      </x:c>
      <x:c r="G20" s="23" t="str">
        <x:v>Project.ManageMembers</x:v>
      </x:c>
      <x:c r="H20" s="23" t="str">
        <x:v>Owner invariant visible</x:v>
      </x:c>
      <x:c r="I20" s="23" t="str">
        <x:v>CapabilityFiltered; ServerRecheck</x:v>
      </x:c>
      <x:c r="J20" s="23" t="str">
        <x:v>PermissionState; SemanticStatus; DataList; InspectorPanel; FormLayout</x:v>
      </x:c>
      <x:c r="K20" s="23" t="str">
        <x:v>Role comparison frame or component variant + capability/forbidden keyboard walkthrough</x:v>
      </x:c>
      <x:c r="L20" s="23" t="str">
        <x:v>Disabled reason announced; hidden controls absent from UIA tree; read-only state exposed; no hidden counts</x:v>
      </x:c>
      <x:c r="M20" s="23" t="str">
        <x:v>Stage 3 Role Interface Matrix — baseline</x:v>
      </x:c>
      <x:c r="N20" s="23" t="str">
        <x:v>Role contract ready</x:v>
      </x:c>
      <x:c r="O20" s="26" t="str">
        <x:v>Pending VIS-001</x:v>
      </x:c>
    </x:row>
    <x:row r="21">
      <x:c r="A21" s="73" t="str">
        <x:v>ROLE-017</x:v>
      </x:c>
      <x:c r="B21" s="23" t="str">
        <x:v>Project role/overrides</x:v>
      </x:c>
      <x:c r="C21" s="23" t="str">
        <x:v>Capability</x:v>
      </x:c>
      <x:c r="D21" s="23" t="str">
        <x:v>Owner/Manager limited</x:v>
      </x:c>
      <x:c r="E21" s="23" t="str">
        <x:v>Hidden</x:v>
      </x:c>
      <x:c r="F21" s="23" t="str">
        <x:v>Hidden</x:v>
      </x:c>
      <x:c r="G21" s="23" t="str">
        <x:v>Project.ManageMembers/Role.Manage</x:v>
      </x:c>
      <x:c r="H21" s="23" t="str">
        <x:v>Do not expose raw policy engine</x:v>
      </x:c>
      <x:c r="I21" s="23" t="str">
        <x:v>CapabilityFiltered; ServerRecheck</x:v>
      </x:c>
      <x:c r="J21" s="23" t="str">
        <x:v>PermissionState; SemanticStatus; DataList; InspectorPanel; FormLayout; PageLayout</x:v>
      </x:c>
      <x:c r="K21" s="23" t="str">
        <x:v>Role comparison frame or component variant + capability/forbidden keyboard walkthrough</x:v>
      </x:c>
      <x:c r="L21" s="23" t="str">
        <x:v>Disabled reason announced; hidden controls absent from UIA tree; read-only state exposed; no hidden counts</x:v>
      </x:c>
      <x:c r="M21" s="23" t="str">
        <x:v>Stage 3 Role Interface Matrix — baseline</x:v>
      </x:c>
      <x:c r="N21" s="23" t="str">
        <x:v>Role contract ready</x:v>
      </x:c>
      <x:c r="O21" s="26" t="str">
        <x:v>Pending VIS-001</x:v>
      </x:c>
    </x:row>
    <x:row r="22">
      <x:c r="A22" s="73" t="str">
        <x:v>ROLE-018</x:v>
      </x:c>
      <x:c r="B22" s="23" t="str">
        <x:v>Complete Project</x:v>
      </x:c>
      <x:c r="C22" s="23" t="str">
        <x:v>Capability</x:v>
      </x:c>
      <x:c r="D22" s="23" t="str">
        <x:v>Owner/Manager</x:v>
      </x:c>
      <x:c r="E22" s="23" t="str">
        <x:v>Only if explicit</x:v>
      </x:c>
      <x:c r="F22" s="23" t="str">
        <x:v>Hidden</x:v>
      </x:c>
      <x:c r="G22" s="23" t="str">
        <x:v>Project.Update</x:v>
      </x:c>
      <x:c r="H22" s="23" t="str">
        <x:v>Separate from archive</x:v>
      </x:c>
      <x:c r="I22" s="23" t="str">
        <x:v>CapabilityFiltered; ServerRecheck</x:v>
      </x:c>
      <x:c r="J22" s="23" t="str">
        <x:v>PermissionState; SemanticStatus; DataList; InspectorPanel; FormLayout</x:v>
      </x:c>
      <x:c r="K22" s="23" t="str">
        <x:v>Role comparison frame or component variant + capability/forbidden keyboard walkthrough</x:v>
      </x:c>
      <x:c r="L22" s="23" t="str">
        <x:v>Disabled reason announced; hidden controls absent from UIA tree; read-only state exposed; no hidden counts</x:v>
      </x:c>
      <x:c r="M22" s="23" t="str">
        <x:v>Stage 3 Role Interface Matrix — baseline</x:v>
      </x:c>
      <x:c r="N22" s="23" t="str">
        <x:v>Role contract ready</x:v>
      </x:c>
      <x:c r="O22" s="26" t="str">
        <x:v>Pending VIS-001</x:v>
      </x:c>
    </x:row>
    <x:row r="23">
      <x:c r="A23" s="73" t="str">
        <x:v>ROLE-019</x:v>
      </x:c>
      <x:c r="B23" s="23" t="str">
        <x:v>Archive Project</x:v>
      </x:c>
      <x:c r="C23" s="23" t="str">
        <x:v>Capability</x:v>
      </x:c>
      <x:c r="D23" s="23" t="str">
        <x:v>Owner/Manager</x:v>
      </x:c>
      <x:c r="E23" s="23" t="str">
        <x:v>Explicit only</x:v>
      </x:c>
      <x:c r="F23" s="23" t="str">
        <x:v>Hidden</x:v>
      </x:c>
      <x:c r="G23" s="23" t="str">
        <x:v>Project.Archive</x:v>
      </x:c>
      <x:c r="H23" s="23" t="str">
        <x:v>Disable invalid state with reason</x:v>
      </x:c>
      <x:c r="I23" s="23" t="str">
        <x:v>CapabilityFiltered; DisabledWithReason; ServerRecheck</x:v>
      </x:c>
      <x:c r="J23" s="23" t="str">
        <x:v>PermissionState; SemanticStatus; DataList; InspectorPanel; FormLayout</x:v>
      </x:c>
      <x:c r="K23" s="23" t="str">
        <x:v>Role comparison frame or component variant + capability/forbidden keyboard walkthrough</x:v>
      </x:c>
      <x:c r="L23" s="23" t="str">
        <x:v>Disabled reason announced; hidden controls absent from UIA tree; read-only state exposed; no hidden counts</x:v>
      </x:c>
      <x:c r="M23" s="23" t="str">
        <x:v>Stage 3 Role Interface Matrix — baseline</x:v>
      </x:c>
      <x:c r="N23" s="23" t="str">
        <x:v>Role contract ready</x:v>
      </x:c>
      <x:c r="O23" s="26" t="str">
        <x:v>Pending VIS-001</x:v>
      </x:c>
    </x:row>
    <x:row r="24">
      <x:c r="A24" s="73" t="str">
        <x:v>ROLE-020</x:v>
      </x:c>
      <x:c r="B24" s="23" t="str">
        <x:v>Read Catalog metadata</x:v>
      </x:c>
      <x:c r="C24" s="23" t="str">
        <x:v>Policy</x:v>
      </x:c>
      <x:c r="D24" s="23" t="str">
        <x:v>Project/department scope</x:v>
      </x:c>
      <x:c r="E24" s="23" t="str">
        <x:v>Linked/scoped</x:v>
      </x:c>
      <x:c r="F24" s="23" t="str">
        <x:v>Linked/scoped</x:v>
      </x:c>
      <x:c r="G24" s="23" t="str">
        <x:v>FileCatalog.Read</x:v>
      </x:c>
      <x:c r="H24" s="23" t="str">
        <x:v>Separate from open</x:v>
      </x:c>
      <x:c r="I24" s="23" t="str">
        <x:v>CapabilityFiltered; ServerRecheck</x:v>
      </x:c>
      <x:c r="J24" s="23" t="str">
        <x:v>PermissionState; SemanticStatus; FileLocationView; ErrorMessage; DialogShell</x:v>
      </x:c>
      <x:c r="K24" s="23" t="str">
        <x:v>Role comparison frame or component variant + capability/forbidden keyboard walkthrough</x:v>
      </x:c>
      <x:c r="L24" s="23" t="str">
        <x:v>Disabled reason announced; hidden controls absent from UIA tree; read-only state exposed; no hidden counts</x:v>
      </x:c>
      <x:c r="M24" s="23" t="str">
        <x:v>Stage 3 Role Interface Matrix — baseline</x:v>
      </x:c>
      <x:c r="N24" s="23" t="str">
        <x:v>Role contract ready</x:v>
      </x:c>
      <x:c r="O24" s="26" t="str">
        <x:v>Pending VIS-001</x:v>
      </x:c>
    </x:row>
    <x:row r="25">
      <x:c r="A25" s="73" t="str">
        <x:v>ROLE-021</x:v>
      </x:c>
      <x:c r="B25" s="23" t="str">
        <x:v>Open File</x:v>
      </x:c>
      <x:c r="C25" s="23" t="str">
        <x:v>Capability + OS ACL</x:v>
      </x:c>
      <x:c r="D25" s="23" t="str">
        <x:v>Capability + OS ACL</x:v>
      </x:c>
      <x:c r="E25" s="23" t="str">
        <x:v>Capability + OS ACL</x:v>
      </x:c>
      <x:c r="F25" s="23" t="str">
        <x:v>May be allowed</x:v>
      </x:c>
      <x:c r="G25" s="23" t="str">
        <x:v>FileReference.Open</x:v>
      </x:c>
      <x:c r="H25" s="23" t="str">
        <x:v>OS failure after visible action is valid</x:v>
      </x:c>
      <x:c r="I25" s="23" t="str">
        <x:v>CapabilityFiltered; ServerRecheck</x:v>
      </x:c>
      <x:c r="J25" s="23" t="str">
        <x:v>PermissionState; SemanticStatus; FileLocationView; ErrorMessage; DialogShell</x:v>
      </x:c>
      <x:c r="K25" s="23" t="str">
        <x:v>Role comparison frame or component variant + capability/forbidden keyboard walkthrough</x:v>
      </x:c>
      <x:c r="L25" s="23" t="str">
        <x:v>Disabled reason announced; hidden controls absent from UIA tree; read-only state exposed; no hidden counts</x:v>
      </x:c>
      <x:c r="M25" s="23" t="str">
        <x:v>Stage 3 Role Interface Matrix — baseline</x:v>
      </x:c>
      <x:c r="N25" s="23" t="str">
        <x:v>Role contract ready</x:v>
      </x:c>
      <x:c r="O25" s="26" t="str">
        <x:v>Pending VIS-001</x:v>
      </x:c>
    </x:row>
    <x:row r="26">
      <x:c r="A26" s="73" t="str">
        <x:v>ROLE-022</x:v>
      </x:c>
      <x:c r="B26" s="23" t="str">
        <x:v>Add/relink FileLocation</x:v>
      </x:c>
      <x:c r="C26" s="23" t="str">
        <x:v>Capability</x:v>
      </x:c>
      <x:c r="D26" s="23" t="str">
        <x:v>Scoped if granted</x:v>
      </x:c>
      <x:c r="E26" s="23" t="str">
        <x:v>Capability, own/device scope</x:v>
      </x:c>
      <x:c r="F26" s="23" t="str">
        <x:v>Hidden</x:v>
      </x:c>
      <x:c r="G26" s="23" t="str">
        <x:v>FileLocation.Update</x:v>
      </x:c>
      <x:c r="H26" s="23" t="str">
        <x:v>Foreign local path redacted</x:v>
      </x:c>
      <x:c r="I26" s="23" t="str">
        <x:v>CapabilityFiltered; RedactedOrUnavailable; ServerRecheck</x:v>
      </x:c>
      <x:c r="J26" s="23" t="str">
        <x:v>PermissionState; SemanticStatus; FileLocationView; ErrorMessage; DialogShell</x:v>
      </x:c>
      <x:c r="K26" s="23" t="str">
        <x:v>Role comparison frame or component variant + capability/forbidden keyboard walkthrough</x:v>
      </x:c>
      <x:c r="L26" s="23" t="str">
        <x:v>Disabled reason announced; hidden controls absent from UIA tree; read-only state exposed; no hidden counts</x:v>
      </x:c>
      <x:c r="M26" s="23" t="str">
        <x:v>Stage 3 Role Interface Matrix — baseline</x:v>
      </x:c>
      <x:c r="N26" s="23" t="str">
        <x:v>Role contract ready</x:v>
      </x:c>
      <x:c r="O26" s="26" t="str">
        <x:v>Pending VIS-001</x:v>
      </x:c>
    </x:row>
    <x:row r="27">
      <x:c r="A27" s="73" t="str">
        <x:v>ROLE-023</x:v>
      </x:c>
      <x:c r="B27" s="23" t="str">
        <x:v>Manage network resources</x:v>
      </x:c>
      <x:c r="C27" s="23" t="str">
        <x:v>Available</x:v>
      </x:c>
      <x:c r="D27" s="23" t="str">
        <x:v>Hidden</x:v>
      </x:c>
      <x:c r="E27" s="23" t="str">
        <x:v>Hidden</x:v>
      </x:c>
      <x:c r="F27" s="23" t="str">
        <x:v>Hidden</x:v>
      </x:c>
      <x:c r="G27" s="23" t="str">
        <x:v>NetworkResource.Manage</x:v>
      </x:c>
      <x:c r="H27" s="23" t="str">
        <x:v>Admin nav only</x:v>
      </x:c>
      <x:c r="I27" s="23" t="str">
        <x:v>CapabilityFiltered; ServerRecheck</x:v>
      </x:c>
      <x:c r="J27" s="23" t="str">
        <x:v>PermissionState; SemanticStatus; FileLocationView; ErrorMessage; DialogShell</x:v>
      </x:c>
      <x:c r="K27" s="23" t="str">
        <x:v>Role comparison frame or component variant + capability/forbidden keyboard walkthrough</x:v>
      </x:c>
      <x:c r="L27" s="23" t="str">
        <x:v>Disabled reason announced; hidden controls absent from UIA tree; read-only state exposed; no hidden counts</x:v>
      </x:c>
      <x:c r="M27" s="23" t="str">
        <x:v>Stage 3 Role Interface Matrix — baseline</x:v>
      </x:c>
      <x:c r="N27" s="23" t="str">
        <x:v>Role contract ready</x:v>
      </x:c>
      <x:c r="O27" s="26" t="str">
        <x:v>Pending VIS-001</x:v>
      </x:c>
    </x:row>
    <x:row r="28">
      <x:c r="A28" s="73" t="str">
        <x:v>ROLE-024</x:v>
      </x:c>
      <x:c r="B28" s="23" t="str">
        <x:v>Trash CatalogItem metadata</x:v>
      </x:c>
      <x:c r="C28" s="23" t="str">
        <x:v>Capability</x:v>
      </x:c>
      <x:c r="D28" s="23" t="str">
        <x:v>Scoped</x:v>
      </x:c>
      <x:c r="E28" s="23" t="str">
        <x:v>Capability</x:v>
      </x:c>
      <x:c r="F28" s="23" t="str">
        <x:v>Hidden</x:v>
      </x:c>
      <x:c r="G28" s="23" t="str">
        <x:v>FileCatalog.Delete</x:v>
      </x:c>
      <x:c r="H28" s="23" t="str">
        <x:v>Always state physical file unaffected</x:v>
      </x:c>
      <x:c r="I28" s="23" t="str">
        <x:v>CapabilityFiltered; ServerRecheck</x:v>
      </x:c>
      <x:c r="J28" s="23" t="str">
        <x:v>PermissionState; SemanticStatus; FileLocationView; ErrorMessage; DialogShell</x:v>
      </x:c>
      <x:c r="K28" s="23" t="str">
        <x:v>Role comparison frame or component variant + capability/forbidden keyboard walkthrough</x:v>
      </x:c>
      <x:c r="L28" s="23" t="str">
        <x:v>Disabled reason announced; hidden controls absent from UIA tree; read-only state exposed; no hidden counts</x:v>
      </x:c>
      <x:c r="M28" s="23" t="str">
        <x:v>Stage 3 Role Interface Matrix — baseline</x:v>
      </x:c>
      <x:c r="N28" s="23" t="str">
        <x:v>Role contract ready</x:v>
      </x:c>
      <x:c r="O28" s="26" t="str">
        <x:v>Pending VIS-001</x:v>
      </x:c>
    </x:row>
    <x:row r="29">
      <x:c r="A29" s="73" t="str">
        <x:v>ROLE-025</x:v>
      </x:c>
      <x:c r="B29" s="23" t="str">
        <x:v>Create/update Contact</x:v>
      </x:c>
      <x:c r="C29" s="23" t="str">
        <x:v>Capability</x:v>
      </x:c>
      <x:c r="D29" s="23" t="str">
        <x:v>Project/department scope</x:v>
      </x:c>
      <x:c r="E29" s="23" t="str">
        <x:v>Scoped capability</x:v>
      </x:c>
      <x:c r="F29" s="23" t="str">
        <x:v>Hidden</x:v>
      </x:c>
      <x:c r="G29" s="23" t="str">
        <x:v>Contact.Create/Update</x:v>
      </x:c>
      <x:c r="H29" s="23" t="str">
        <x:v>Partial fields read-only</x:v>
      </x:c>
      <x:c r="I29" s="23" t="str">
        <x:v>CapabilityFiltered; ReadOnly; ServerRecheck</x:v>
      </x:c>
      <x:c r="J29" s="23" t="str">
        <x:v>PermissionState; SemanticStatus; PageLayout; DataList</x:v>
      </x:c>
      <x:c r="K29" s="23" t="str">
        <x:v>Role comparison frame or component variant + capability/forbidden keyboard walkthrough</x:v>
      </x:c>
      <x:c r="L29" s="23" t="str">
        <x:v>Disabled reason announced; hidden controls absent from UIA tree; read-only state exposed; no hidden counts</x:v>
      </x:c>
      <x:c r="M29" s="23" t="str">
        <x:v>Stage 3 Role Interface Matrix — baseline</x:v>
      </x:c>
      <x:c r="N29" s="23" t="str">
        <x:v>Role contract ready</x:v>
      </x:c>
      <x:c r="O29" s="26" t="str">
        <x:v>Pending VIS-001</x:v>
      </x:c>
    </x:row>
    <x:row r="30">
      <x:c r="A30" s="73" t="str">
        <x:v>ROLE-026</x:v>
      </x:c>
      <x:c r="B30" s="23" t="str">
        <x:v>Read Contact</x:v>
      </x:c>
      <x:c r="C30" s="23" t="str">
        <x:v>Global policy</x:v>
      </x:c>
      <x:c r="D30" s="23" t="str">
        <x:v>Scoped</x:v>
      </x:c>
      <x:c r="E30" s="23" t="str">
        <x:v>Scoped</x:v>
      </x:c>
      <x:c r="F30" s="23" t="str">
        <x:v>Scoped read</x:v>
      </x:c>
      <x:c r="G30" s="23" t="str">
        <x:v>Contact.Read</x:v>
      </x:c>
      <x:c r="H30" s="23" t="str">
        <x:v>No hidden related counts</x:v>
      </x:c>
      <x:c r="I30" s="23" t="str">
        <x:v>CapabilityFiltered; Hidden; RedactedOrUnavailable; ServerRecheck</x:v>
      </x:c>
      <x:c r="J30" s="23" t="str">
        <x:v>PermissionState; SemanticStatus; PageLayout; DataList</x:v>
      </x:c>
      <x:c r="K30" s="23" t="str">
        <x:v>Role comparison frame or component variant + capability/forbidden keyboard walkthrough</x:v>
      </x:c>
      <x:c r="L30" s="23" t="str">
        <x:v>Disabled reason announced; hidden controls absent from UIA tree; read-only state exposed; no hidden counts</x:v>
      </x:c>
      <x:c r="M30" s="23" t="str">
        <x:v>Stage 3 Role Interface Matrix — baseline</x:v>
      </x:c>
      <x:c r="N30" s="23" t="str">
        <x:v>Role contract ready</x:v>
      </x:c>
      <x:c r="O30" s="26" t="str">
        <x:v>Pending VIS-001</x:v>
      </x:c>
    </x:row>
    <x:row r="31">
      <x:c r="A31" s="73" t="str">
        <x:v>ROLE-027</x:v>
      </x:c>
      <x:c r="B31" s="23" t="str">
        <x:v>Create Interaction</x:v>
      </x:c>
      <x:c r="C31" s="23" t="str">
        <x:v>Capability</x:v>
      </x:c>
      <x:c r="D31" s="23" t="str">
        <x:v>Scoped</x:v>
      </x:c>
      <x:c r="E31" s="23" t="str">
        <x:v>Scoped capability</x:v>
      </x:c>
      <x:c r="F31" s="23" t="str">
        <x:v>Hidden</x:v>
      </x:c>
      <x:c r="G31" s="23" t="str">
        <x:v>Interaction.Create</x:v>
      </x:c>
      <x:c r="H31" s="23" t="str">
        <x:v>No email/message side effect</x:v>
      </x:c>
      <x:c r="I31" s="23" t="str">
        <x:v>CapabilityFiltered; ServerRecheck</x:v>
      </x:c>
      <x:c r="J31" s="23" t="str">
        <x:v>PermissionState; SemanticStatus; PageLayout; DataList</x:v>
      </x:c>
      <x:c r="K31" s="23" t="str">
        <x:v>Role comparison frame or component variant + capability/forbidden keyboard walkthrough</x:v>
      </x:c>
      <x:c r="L31" s="23" t="str">
        <x:v>Disabled reason announced; hidden controls absent from UIA tree; read-only state exposed; no hidden counts</x:v>
      </x:c>
      <x:c r="M31" s="23" t="str">
        <x:v>Stage 3 Role Interface Matrix — baseline</x:v>
      </x:c>
      <x:c r="N31" s="23" t="str">
        <x:v>Role contract ready</x:v>
      </x:c>
      <x:c r="O31" s="26" t="str">
        <x:v>Pending VIS-001</x:v>
      </x:c>
    </x:row>
    <x:row r="32">
      <x:c r="A32" s="73" t="str">
        <x:v>ROLE-028</x:v>
      </x:c>
      <x:c r="B32" s="23" t="str">
        <x:v>Create Comment</x:v>
      </x:c>
      <x:c r="C32" s="23" t="str">
        <x:v>Target access</x:v>
      </x:c>
      <x:c r="D32" s="23" t="str">
        <x:v>Target access</x:v>
      </x:c>
      <x:c r="E32" s="23" t="str">
        <x:v>Target access</x:v>
      </x:c>
      <x:c r="F32" s="23" t="str">
        <x:v>Usually hidden/read-only</x:v>
      </x:c>
      <x:c r="G32" s="23" t="str">
        <x:v>Comment.Create</x:v>
      </x:c>
      <x:c r="H32" s="23" t="str">
        <x:v>Target rechecked</x:v>
      </x:c>
      <x:c r="I32" s="23" t="str">
        <x:v>CapabilityFiltered; ServerRecheck</x:v>
      </x:c>
      <x:c r="J32" s="23" t="str">
        <x:v>PermissionState; SemanticStatus; CommentThread; FormLayout</x:v>
      </x:c>
      <x:c r="K32" s="23" t="str">
        <x:v>Role comparison frame or component variant + capability/forbidden keyboard walkthrough</x:v>
      </x:c>
      <x:c r="L32" s="23" t="str">
        <x:v>Disabled reason announced; hidden controls absent from UIA tree; read-only state exposed; no hidden counts</x:v>
      </x:c>
      <x:c r="M32" s="23" t="str">
        <x:v>Stage 3 Role Interface Matrix — baseline</x:v>
      </x:c>
      <x:c r="N32" s="23" t="str">
        <x:v>Role contract ready</x:v>
      </x:c>
      <x:c r="O32" s="26" t="str">
        <x:v>Pending VIS-001</x:v>
      </x:c>
    </x:row>
    <x:row r="33">
      <x:c r="A33" s="73" t="str">
        <x:v>ROLE-029</x:v>
      </x:c>
      <x:c r="B33" s="23" t="str">
        <x:v>Moderate Comment</x:v>
      </x:c>
      <x:c r="C33" s="23" t="str">
        <x:v>Capability</x:v>
      </x:c>
      <x:c r="D33" s="23" t="str">
        <x:v>Rare capability</x:v>
      </x:c>
      <x:c r="E33" s="23" t="str">
        <x:v>Own only unless moderator</x:v>
      </x:c>
      <x:c r="F33" s="23" t="str">
        <x:v>Hidden</x:v>
      </x:c>
      <x:c r="G33" s="23" t="str">
        <x:v>Comment.UpdateOwnOrModerate/Moderate</x:v>
      </x:c>
      <x:c r="H33" s="23" t="str">
        <x:v>Own vs moderator distinct</x:v>
      </x:c>
      <x:c r="I33" s="23" t="str">
        <x:v>CapabilityFiltered; ServerRecheck</x:v>
      </x:c>
      <x:c r="J33" s="23" t="str">
        <x:v>PermissionState; SemanticStatus; CommentThread; FormLayout</x:v>
      </x:c>
      <x:c r="K33" s="23" t="str">
        <x:v>Role comparison frame or component variant + capability/forbidden keyboard walkthrough</x:v>
      </x:c>
      <x:c r="L33" s="23" t="str">
        <x:v>Disabled reason announced; hidden controls absent from UIA tree; read-only state exposed; no hidden counts</x:v>
      </x:c>
      <x:c r="M33" s="23" t="str">
        <x:v>Stage 3 Role Interface Matrix — baseline</x:v>
      </x:c>
      <x:c r="N33" s="23" t="str">
        <x:v>Role contract ready</x:v>
      </x:c>
      <x:c r="O33" s="26" t="str">
        <x:v>Pending VIS-001</x:v>
      </x:c>
    </x:row>
    <x:row r="34">
      <x:c r="A34" s="73" t="str">
        <x:v>ROLE-030</x:v>
      </x:c>
      <x:c r="B34" s="23" t="str">
        <x:v>Read Object history</x:v>
      </x:c>
      <x:c r="C34" s="23" t="str">
        <x:v>Current access; audit separate</x:v>
      </x:c>
      <x:c r="D34" s="23" t="str">
        <x:v>Current access</x:v>
      </x:c>
      <x:c r="E34" s="23" t="str">
        <x:v>Current access</x:v>
      </x:c>
      <x:c r="F34" s="23" t="str">
        <x:v>Current access</x:v>
      </x:c>
      <x:c r="G34" s="23" t="str">
        <x:v>History.Read</x:v>
      </x:c>
      <x:c r="H34" s="23" t="str">
        <x:v>Redact by current rights</x:v>
      </x:c>
      <x:c r="I34" s="23" t="str">
        <x:v>CapabilityFiltered; RedactedOrUnavailable; ServerRecheck</x:v>
      </x:c>
      <x:c r="J34" s="23" t="str">
        <x:v>PermissionState; SemanticStatus; PageLayout; DataList</x:v>
      </x:c>
      <x:c r="K34" s="23" t="str">
        <x:v>Role comparison frame or component variant + capability/forbidden keyboard walkthrough</x:v>
      </x:c>
      <x:c r="L34" s="23" t="str">
        <x:v>Disabled reason announced; hidden controls absent from UIA tree; read-only state exposed; no hidden counts</x:v>
      </x:c>
      <x:c r="M34" s="23" t="str">
        <x:v>Stage 3 Role Interface Matrix — baseline</x:v>
      </x:c>
      <x:c r="N34" s="23" t="str">
        <x:v>Role contract ready</x:v>
      </x:c>
      <x:c r="O34" s="26" t="str">
        <x:v>Pending VIS-001</x:v>
      </x:c>
    </x:row>
    <x:row r="35">
      <x:c r="A35" s="73" t="str">
        <x:v>ROLE-031</x:v>
      </x:c>
      <x:c r="B35" s="23" t="str">
        <x:v>Global Search</x:v>
      </x:c>
      <x:c r="C35" s="23" t="str">
        <x:v>Available</x:v>
      </x:c>
      <x:c r="D35" s="23" t="str">
        <x:v>Available</x:v>
      </x:c>
      <x:c r="E35" s="23" t="str">
        <x:v>Available</x:v>
      </x:c>
      <x:c r="F35" s="23" t="str">
        <x:v>Available</x:v>
      </x:c>
      <x:c r="G35" s="23" t="str">
        <x:v>Search.Use</x:v>
      </x:c>
      <x:c r="H35" s="23" t="str">
        <x:v>Server-filtered results</x:v>
      </x:c>
      <x:c r="I35" s="23" t="str">
        <x:v>CapabilityFiltered; ServerRecheck</x:v>
      </x:c>
      <x:c r="J35" s="23" t="str">
        <x:v>PermissionState; SemanticStatus; SearchBox; DataList; RedactionMarker</x:v>
      </x:c>
      <x:c r="K35" s="23" t="str">
        <x:v>Role comparison frame or component variant + capability/forbidden keyboard walkthrough</x:v>
      </x:c>
      <x:c r="L35" s="23" t="str">
        <x:v>Disabled reason announced; hidden controls absent from UIA tree; read-only state exposed; no hidden counts</x:v>
      </x:c>
      <x:c r="M35" s="23" t="str">
        <x:v>Stage 3 Role Interface Matrix — baseline</x:v>
      </x:c>
      <x:c r="N35" s="23" t="str">
        <x:v>Role contract ready</x:v>
      </x:c>
      <x:c r="O35" s="26" t="str">
        <x:v>Pending VIS-001</x:v>
      </x:c>
    </x:row>
    <x:row r="36">
      <x:c r="A36" s="73" t="str">
        <x:v>ROLE-032</x:v>
      </x:c>
      <x:c r="B36" s="23" t="str">
        <x:v>View urgency scale</x:v>
      </x:c>
      <x:c r="C36" s="23" t="str">
        <x:v>Visible</x:v>
      </x:c>
      <x:c r="D36" s="23" t="str">
        <x:v>Visible</x:v>
      </x:c>
      <x:c r="E36" s="23" t="str">
        <x:v>Visible</x:v>
      </x:c>
      <x:c r="F36" s="23" t="str">
        <x:v>Visible</x:v>
      </x:c>
      <x:c r="G36" s="23" t="str">
        <x:v>`Settings.ReadOwn`</x:v>
      </x:c>
      <x:c r="H36" s="23" t="str">
        <x:v>Unavailable with explanation if server denies</x:v>
      </x:c>
      <x:c r="I36" s="23" t="str">
        <x:v>CapabilityFiltered; ServerRecheck</x:v>
      </x:c>
      <x:c r="J36" s="23" t="str">
        <x:v>PermissionState; SemanticStatus; PageLayout; DataList</x:v>
      </x:c>
      <x:c r="K36" s="23" t="str">
        <x:v>Role comparison frame or component variant + capability/forbidden keyboard walkthrough</x:v>
      </x:c>
      <x:c r="L36" s="23" t="str">
        <x:v>Disabled reason announced; hidden controls absent from UIA tree; read-only state exposed; no hidden counts</x:v>
      </x:c>
      <x:c r="M36" s="23" t="str">
        <x:v>Stage 3.5 role/interface delta</x:v>
      </x:c>
      <x:c r="N36" s="23" t="str">
        <x:v>Role contract ready</x:v>
      </x:c>
      <x:c r="O36" s="26" t="str">
        <x:v>Pending VIS-001</x:v>
      </x:c>
    </x:row>
    <x:row r="37">
      <x:c r="A37" s="73" t="str">
        <x:v>ROLE-033</x:v>
      </x:c>
      <x:c r="B37" s="23" t="str">
        <x:v>Edit intervals/displayToken</x:v>
      </x:c>
      <x:c r="C37" s="23" t="str">
        <x:v>Enabled if capability</x:v>
      </x:c>
      <x:c r="D37" s="23" t="str">
        <x:v>Only if explicit capability</x:v>
      </x:c>
      <x:c r="E37" s="23" t="str">
        <x:v>Only if explicit capability</x:v>
      </x:c>
      <x:c r="F37" s="23" t="str">
        <x:v>Read-only</x:v>
      </x:c>
      <x:c r="G37" s="23" t="str">
        <x:v>`System.Configure`</x:v>
      </x:c>
      <x:c r="H37" s="23" t="str">
        <x:v>Read-only/disabled with reason; server `FORBIDDEN` authoritative</x:v>
      </x:c>
      <x:c r="I37" s="23" t="str">
        <x:v>CapabilityFiltered; DisabledWithReason; ReadOnly; ForbiddenResult; ServerRecheck</x:v>
      </x:c>
      <x:c r="J37" s="23" t="str">
        <x:v>PermissionState; SemanticStatus; PageLayout; DataList</x:v>
      </x:c>
      <x:c r="K37" s="23" t="str">
        <x:v>Role comparison frame or component variant + capability/forbidden keyboard walkthrough</x:v>
      </x:c>
      <x:c r="L37" s="23" t="str">
        <x:v>Disabled reason announced; hidden controls absent from UIA tree; read-only state exposed; no hidden counts</x:v>
      </x:c>
      <x:c r="M37" s="23" t="str">
        <x:v>Stage 3.5 role/interface delta</x:v>
      </x:c>
      <x:c r="N37" s="23" t="str">
        <x:v>Role contract ready</x:v>
      </x:c>
      <x:c r="O37" s="26" t="str">
        <x:v>Pending VIS-001</x:v>
      </x:c>
    </x:row>
    <x:row r="38">
      <x:c r="A38" s="73" t="str">
        <x:v>ROLE-034</x:v>
      </x:c>
      <x:c r="B38" s="23" t="str">
        <x:v>Reset scale</x:v>
      </x:c>
      <x:c r="C38" s="23" t="str">
        <x:v>Enabled if capability</x:v>
      </x:c>
      <x:c r="D38" s="23" t="str">
        <x:v>Only if explicit capability</x:v>
      </x:c>
      <x:c r="E38" s="23" t="str">
        <x:v>Only if explicit capability</x:v>
      </x:c>
      <x:c r="F38" s="23" t="str">
        <x:v>Hidden/disabled</x:v>
      </x:c>
      <x:c r="G38" s="23" t="str">
        <x:v>`System.Configure`</x:v>
      </x:c>
      <x:c r="H38" s="23" t="str">
        <x:v>If-Match + Idempotency-Key required</x:v>
      </x:c>
      <x:c r="I38" s="23" t="str">
        <x:v>CapabilityFiltered; ServerRecheck</x:v>
      </x:c>
      <x:c r="J38" s="23" t="str">
        <x:v>PermissionState; SemanticStatus; PageLayout; DataList</x:v>
      </x:c>
      <x:c r="K38" s="23" t="str">
        <x:v>Role comparison frame or component variant + capability/forbidden keyboard walkthrough</x:v>
      </x:c>
      <x:c r="L38" s="23" t="str">
        <x:v>Disabled reason announced; hidden controls absent from UIA tree; read-only state exposed; no hidden counts</x:v>
      </x:c>
      <x:c r="M38" s="23" t="str">
        <x:v>Stage 3.5 role/interface delta</x:v>
      </x:c>
      <x:c r="N38" s="23" t="str">
        <x:v>Role contract ready</x:v>
      </x:c>
      <x:c r="O38" s="26" t="str">
        <x:v>Pending VIS-001</x:v>
      </x:c>
    </x:row>
    <x:row r="39">
      <x:c r="A39" s="73" t="str">
        <x:v>ROLE-035</x:v>
      </x:c>
      <x:c r="B39" s="23" t="str">
        <x:v>Search Employees</x:v>
      </x:c>
      <x:c r="C39" s="23" t="str">
        <x:v>Available</x:v>
      </x:c>
      <x:c r="D39" s="23" t="str">
        <x:v>Available</x:v>
      </x:c>
      <x:c r="E39" s="23" t="str">
        <x:v>Available</x:v>
      </x:c>
      <x:c r="F39" s="23" t="str">
        <x:v>Available</x:v>
      </x:c>
      <x:c r="G39" s="23" t="str">
        <x:v>`Search.Use`</x:v>
      </x:c>
      <x:c r="H39" s="23" t="str">
        <x:v>Server filtering; no hidden count</x:v>
      </x:c>
      <x:c r="I39" s="23" t="str">
        <x:v>CapabilityFiltered; Hidden; RedactedOrUnavailable; ServerRecheck</x:v>
      </x:c>
      <x:c r="J39" s="23" t="str">
        <x:v>PermissionState; SemanticStatus; SearchBox; DataList; RedactionMarker</x:v>
      </x:c>
      <x:c r="K39" s="23" t="str">
        <x:v>Role comparison frame or component variant + capability/forbidden keyboard walkthrough</x:v>
      </x:c>
      <x:c r="L39" s="23" t="str">
        <x:v>Disabled reason announced; hidden controls absent from UIA tree; read-only state exposed; no hidden counts</x:v>
      </x:c>
      <x:c r="M39" s="23" t="str">
        <x:v>Stage 3.5 role/interface delta</x:v>
      </x:c>
      <x:c r="N39" s="23" t="str">
        <x:v>Role contract ready</x:v>
      </x:c>
      <x:c r="O39" s="26" t="str">
        <x:v>Pending VIS-001</x:v>
      </x:c>
    </x:row>
    <x:row r="40">
      <x:c r="A40" s="73" t="str">
        <x:v>ROLE-036</x:v>
      </x:c>
      <x:c r="B40" s="23" t="str">
        <x:v>Open employee deep link</x:v>
      </x:c>
      <x:c r="C40" s="23" t="str">
        <x:v>If result issued and target still allowed</x:v>
      </x:c>
      <x:c r="D40" s="23" t="str">
        <x:v>Same</x:v>
      </x:c>
      <x:c r="E40" s="23" t="str">
        <x:v>Same</x:v>
      </x:c>
      <x:c r="F40" s="23" t="str">
        <x:v>Same</x:v>
      </x:c>
      <x:c r="G40" s="23" t="str">
        <x:v>target policy recheck</x:v>
      </x:c>
      <x:c r="H40" s="23" t="str">
        <x:v>Neutral unavailable on revoked access</x:v>
      </x:c>
      <x:c r="I40" s="23" t="str">
        <x:v>CapabilityFiltered; ServerRecheck</x:v>
      </x:c>
      <x:c r="J40" s="23" t="str">
        <x:v>PermissionState; SemanticStatus; SearchBox; DataList; RedactionMarker</x:v>
      </x:c>
      <x:c r="K40" s="23" t="str">
        <x:v>Role comparison frame or component variant + capability/forbidden keyboard walkthrough</x:v>
      </x:c>
      <x:c r="L40" s="23" t="str">
        <x:v>Disabled reason announced; hidden controls absent from UIA tree; read-only state exposed; no hidden counts</x:v>
      </x:c>
      <x:c r="M40" s="23" t="str">
        <x:v>Stage 3.5 role/interface delta</x:v>
      </x:c>
      <x:c r="N40" s="23" t="str">
        <x:v>Role contract ready</x:v>
      </x:c>
      <x:c r="O40" s="26" t="str">
        <x:v>Pending VIS-001</x:v>
      </x:c>
    </x:row>
    <x:row r="41">
      <x:c r="A41" s="73" t="str">
        <x:v>ROLE-037</x:v>
      </x:c>
      <x:c r="B41" s="23" t="str">
        <x:v>See blocked employee</x:v>
      </x:c>
      <x:c r="C41" s="23" t="str">
        <x:v>Only with capability</x:v>
      </x:c>
      <x:c r="D41" s="23" t="str">
        <x:v>Only if explicit capability</x:v>
      </x:c>
      <x:c r="E41" s="23" t="str">
        <x:v>Usually omitted</x:v>
      </x:c>
      <x:c r="F41" s="23" t="str">
        <x:v>Omitted</x:v>
      </x:c>
      <x:c r="G41" s="23" t="str">
        <x:v>existing `User.Block`</x:v>
      </x:c>
      <x:c r="H41" s="23" t="str">
        <x:v>Server omission; no post-filter</x:v>
      </x:c>
      <x:c r="I41" s="23" t="str">
        <x:v>CapabilityFiltered; ServerRecheck</x:v>
      </x:c>
      <x:c r="J41" s="23" t="str">
        <x:v>PermissionState; SemanticStatus; SearchBox; DataList; RedactionMarker</x:v>
      </x:c>
      <x:c r="K41" s="23" t="str">
        <x:v>Role comparison frame or component variant + capability/forbidden keyboard walkthrough</x:v>
      </x:c>
      <x:c r="L41" s="23" t="str">
        <x:v>Disabled reason announced; hidden controls absent from UIA tree; read-only state exposed; no hidden counts</x:v>
      </x:c>
      <x:c r="M41" s="23" t="str">
        <x:v>Stage 3.5 role/interface delta</x:v>
      </x:c>
      <x:c r="N41" s="23" t="str">
        <x:v>Role contract ready</x:v>
      </x:c>
      <x:c r="O41" s="26" t="str">
        <x:v>Pending VIS-001</x:v>
      </x:c>
    </x:row>
    <x:row r="42">
      <x:c r="A42" s="74" t="str">
        <x:v>ROLE-038</x:v>
      </x:c>
      <x:c r="B42" s="30" t="str">
        <x:v>Redacted employee fields</x:v>
      </x:c>
      <x:c r="C42" s="30" t="str">
        <x:v>Available fields only</x:v>
      </x:c>
      <x:c r="D42" s="30" t="str">
        <x:v>Same</x:v>
      </x:c>
      <x:c r="E42" s="30" t="str">
        <x:v>Same</x:v>
      </x:c>
      <x:c r="F42" s="30" t="str">
        <x:v>Same</x:v>
      </x:c>
      <x:c r="G42" s="30" t="str">
        <x:v>server relation/capability</x:v>
      </x:c>
      <x:c r="H42" s="30" t="str">
        <x:v>`isRedacted=true`; nullable fields hidden with text explanation</x:v>
      </x:c>
      <x:c r="I42" s="30" t="str">
        <x:v>CapabilityFiltered; Hidden; RedactedOrUnavailable; ServerRecheck</x:v>
      </x:c>
      <x:c r="J42" s="30" t="str">
        <x:v>PermissionState; SemanticStatus; SearchBox; DataList; RedactionMarker</x:v>
      </x:c>
      <x:c r="K42" s="30" t="str">
        <x:v>Role comparison frame or component variant + capability/forbidden keyboard walkthrough</x:v>
      </x:c>
      <x:c r="L42" s="30" t="str">
        <x:v>Disabled reason announced; hidden controls absent from UIA tree; read-only state exposed; no hidden counts</x:v>
      </x:c>
      <x:c r="M42" s="30" t="str">
        <x:v>Stage 3.5 role/interface delta</x:v>
      </x:c>
      <x:c r="N42" s="30" t="str">
        <x:v>Role contract ready</x:v>
      </x:c>
      <x:c r="O42" s="33" t="str">
        <x:v>Pending VIS-001</x:v>
      </x:c>
    </x:row>
  </x:sheetData>
  <x:mergeCells>
    <x:mergeCell ref="A1:O2"/>
    <x:mergeCell ref="A3:O3"/>
  </x:mergeCells>
  <x:conditionalFormatting sqref="N5:N42">
    <x:cfRule type="containsText" dxfId="29" priority="1" operator="containsText" text="ready"/>
  </x:conditionalFormatting>
  <x:conditionalFormatting sqref="O5:O42">
    <x:cfRule type="containsText" dxfId="30" priority="2" operator="containsText" text="VIS-001"/>
  </x:conditionalFormatting>
  <x:pageMargins left="0.7" right="0.7" top="0.75" bottom="0.75" header="0.3" footer="0.3"/>
  <x:tableParts count="1">
    <x:tablePart xmlns:r="http://schemas.openxmlformats.org/officeDocument/2006/relationships" r:id="Rd8ad5f8270d6470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34" hidden="0" customWidth="1"/>
    <x:col min="6" max="6" width="40" hidden="0" customWidth="1"/>
    <x:col min="7" max="7" width="32" hidden="0" customWidth="1"/>
    <x:col min="8" max="8" width="40" hidden="0" customWidth="1"/>
    <x:col min="9" max="9" width="32" hidden="0" customWidth="1"/>
    <x:col min="10" max="10" width="28" hidden="0" customWidth="1"/>
    <x:col min="11" max="11" width="34" hidden="0" customWidth="1"/>
    <x:col min="12" max="12" width="40" hidden="0" customWidth="1"/>
    <x:col min="13" max="13" width="40" hidden="0" customWidth="1"/>
    <x:col min="14" max="14" width="30" hidden="0" customWidth="1"/>
    <x:col min="15" max="15" width="20" hidden="0" customWidth="1"/>
    <x:col min="16" max="16" width="18" hidden="0" customWidth="1"/>
  </x:cols>
  <x:sheetData>
    <x:row r="1">
      <x:c r="A1" s="3" t="str">
        <x:v>Stage 5.4 — State/Component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6" t="str">
        <x:v>56 published State Matrix rows map trigger, UI behavior, actions, recovery and API/error semantics to reusable Stage 5 component families.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17" t="str">
        <x:v>State contract ID</x:v>
      </x:c>
      <x:c r="B4" s="18" t="str">
        <x:v>STATE references</x:v>
      </x:c>
      <x:c r="C4" s="18" t="str">
        <x:v>Surface</x:v>
      </x:c>
      <x:c r="D4" s="18" t="str">
        <x:v>State</x:v>
      </x:c>
      <x:c r="E4" s="18" t="str">
        <x:v>Trigger</x:v>
      </x:c>
      <x:c r="F4" s="18" t="str">
        <x:v>UI behavior</x:v>
      </x:c>
      <x:c r="G4" s="18" t="str">
        <x:v>Allowed actions</x:v>
      </x:c>
      <x:c r="H4" s="18" t="str">
        <x:v>Message</x:v>
      </x:c>
      <x:c r="I4" s="18" t="str">
        <x:v>Recovery</x:v>
      </x:c>
      <x:c r="J4" s="18" t="str">
        <x:v>API/error</x:v>
      </x:c>
      <x:c r="K4" s="18" t="str">
        <x:v>Required components</x:v>
      </x:c>
      <x:c r="L4" s="18" t="str">
        <x:v>Required design evidence</x:v>
      </x:c>
      <x:c r="M4" s="18" t="str">
        <x:v>Accessibility evidence</x:v>
      </x:c>
      <x:c r="N4" s="18" t="str">
        <x:v>Canonical source</x:v>
      </x:c>
      <x:c r="O4" s="18" t="str">
        <x:v>Contract status</x:v>
      </x:c>
      <x:c r="P4" s="19" t="str">
        <x:v>Visual status</x:v>
      </x:c>
    </x:row>
    <x:row r="5">
      <x:c r="A5" s="73" t="str">
        <x:v>STC-001</x:v>
      </x:c>
      <x:c r="B5" s="23" t="str">
        <x:v>STATE-001</x:v>
      </x:c>
      <x:c r="C5" s="23" t="str">
        <x:v>Global shell</x:v>
      </x:c>
      <x:c r="D5" s="23" t="str">
        <x:v>Initial</x:v>
      </x:c>
      <x:c r="E5" s="23" t="str">
        <x:v>Route not initialized</x:v>
      </x:c>
      <x:c r="F5" s="23" t="str">
        <x:v>Shell chrome only, no fake empty data</x:v>
      </x:c>
      <x:c r="G5" s="23" t="str">
        <x:v>Login/diagnostics</x:v>
      </x:c>
      <x:c r="H5" s="23" t="str">
        <x:v>Подготовка приложения…</x:v>
      </x:c>
      <x:c r="I5" s="23" t="str">
        <x:v>Start auth/bootstrap</x:v>
      </x:c>
      <x:c r="J5" s="23" t="str">
        <x:v>—</x:v>
      </x:c>
      <x:c r="K5" s="23" t="str">
        <x:v>LoadingState; ProgressIndicator</x:v>
      </x:c>
      <x:c r="L5" s="23" t="str">
        <x:v>State frame/component variant + trigger/action/recovery walkthrough + long RU message + 200% scaling</x:v>
      </x:c>
      <x:c r="M5" s="23" t="str">
        <x:v>UIA name/role/state; live announcement where appropriate; deterministic focus; non-color semantics</x:v>
      </x:c>
      <x:c r="N5" s="23" t="str">
        <x:v>Stage 3 State Matrix Final 3.5</x:v>
      </x:c>
      <x:c r="O5" s="23" t="str">
        <x:v>State contract ready</x:v>
      </x:c>
      <x:c r="P5" s="26" t="str">
        <x:v>Pending VIS-001</x:v>
      </x:c>
    </x:row>
    <x:row r="6">
      <x:c r="A6" s="73" t="str">
        <x:v>STC-002</x:v>
      </x:c>
      <x:c r="B6" s="23" t="str">
        <x:v>STATE-002</x:v>
      </x:c>
      <x:c r="C6" s="23" t="str">
        <x:v>Any surface</x:v>
      </x:c>
      <x:c r="D6" s="23" t="str">
        <x:v>Loading</x:v>
      </x:c>
      <x:c r="E6" s="23" t="str">
        <x:v>No usable data; request pending</x:v>
      </x:c>
      <x:c r="F6" s="23" t="str">
        <x:v>Skeleton matching final layout</x:v>
      </x:c>
      <x:c r="G6" s="23" t="str">
        <x:v>Cancel navigation; retry after timeout</x:v>
      </x:c>
      <x:c r="H6" s="23" t="str">
        <x:v>Загрузка…</x:v>
      </x:c>
      <x:c r="I6" s="23" t="str">
        <x:v>Server response/retry</x:v>
      </x:c>
      <x:c r="J6" s="23" t="str">
        <x:v>—</x:v>
      </x:c>
      <x:c r="K6" s="23" t="str">
        <x:v>LoadingState; ProgressIndicator</x:v>
      </x:c>
      <x:c r="L6" s="23" t="str">
        <x:v>State frame/component variant + trigger/action/recovery walkthrough + long RU message + 200% scaling</x:v>
      </x:c>
      <x:c r="M6" s="23" t="str">
        <x:v>UIA name/role/state; live announcement where appropriate; deterministic focus; non-color semantics</x:v>
      </x:c>
      <x:c r="N6" s="23" t="str">
        <x:v>Stage 3 State Matrix Final 3.5</x:v>
      </x:c>
      <x:c r="O6" s="23" t="str">
        <x:v>State contract ready</x:v>
      </x:c>
      <x:c r="P6" s="26" t="str">
        <x:v>Pending VIS-001</x:v>
      </x:c>
    </x:row>
    <x:row r="7">
      <x:c r="A7" s="73" t="str">
        <x:v>STC-003</x:v>
      </x:c>
      <x:c r="B7" s="23" t="str">
        <x:v>STATE-003</x:v>
      </x:c>
      <x:c r="C7" s="23" t="str">
        <x:v>Any surface</x:v>
      </x:c>
      <x:c r="D7" s="23" t="str">
        <x:v>Refreshing</x:v>
      </x:c>
      <x:c r="E7" s="23" t="str">
        <x:v>Usable data + background read</x:v>
      </x:c>
      <x:c r="F7" s="23" t="str">
        <x:v>Keep data/selection; subtle progress</x:v>
      </x:c>
      <x:c r="G7" s="23" t="str">
        <x:v>Continue read</x:v>
      </x:c>
      <x:c r="H7" s="23" t="str">
        <x:v>Обновляем данные…</x:v>
      </x:c>
      <x:c r="I7" s="23" t="str">
        <x:v>Atomic apply</x:v>
      </x:c>
      <x:c r="J7" s="23" t="str">
        <x:v>—</x:v>
      </x:c>
      <x:c r="K7" s="23" t="str">
        <x:v>LoadingState; ProgressIndicator</x:v>
      </x:c>
      <x:c r="L7" s="23" t="str">
        <x:v>State frame/component variant + trigger/action/recovery walkthrough + long RU message + 200% scaling</x:v>
      </x:c>
      <x:c r="M7" s="23" t="str">
        <x:v>UIA name/role/state; live announcement where appropriate; deterministic focus; non-color semantics</x:v>
      </x:c>
      <x:c r="N7" s="23" t="str">
        <x:v>Stage 3 State Matrix Final 3.5</x:v>
      </x:c>
      <x:c r="O7" s="23" t="str">
        <x:v>State contract ready</x:v>
      </x:c>
      <x:c r="P7" s="26" t="str">
        <x:v>Pending VIS-001</x:v>
      </x:c>
    </x:row>
    <x:row r="8">
      <x:c r="A8" s="73" t="str">
        <x:v>STC-004</x:v>
      </x:c>
      <x:c r="B8" s="23" t="str">
        <x:v>STATE-005</x:v>
      </x:c>
      <x:c r="C8" s="23" t="str">
        <x:v>Any list</x:v>
      </x:c>
      <x:c r="D8" s="23" t="str">
        <x:v>Empty</x:v>
      </x:c>
      <x:c r="E8" s="23" t="str">
        <x:v>Authorized unfiltered result = 0</x:v>
      </x:c>
      <x:c r="F8" s="23" t="str">
        <x:v>Purpose-specific empty + permitted create</x:v>
      </x:c>
      <x:c r="G8" s="23" t="str">
        <x:v>Create; adjust scope</x:v>
      </x:c>
      <x:c r="H8" s="23" t="str">
        <x:v>Здесь пока нет элементов.</x:v>
      </x:c>
      <x:c r="I8" s="23" t="str">
        <x:v>Create/navigate</x:v>
      </x:c>
      <x:c r="J8" s="23" t="str">
        <x:v>200 empty</x:v>
      </x:c>
      <x:c r="K8" s="23" t="str">
        <x:v>EmptyState; DataList</x:v>
      </x:c>
      <x:c r="L8" s="23" t="str">
        <x:v>State frame/component variant + trigger/action/recovery walkthrough + long RU message + 200% scaling</x:v>
      </x:c>
      <x:c r="M8" s="23" t="str">
        <x:v>UIA name/role/state; live announcement where appropriate; deterministic focus; non-color semantics</x:v>
      </x:c>
      <x:c r="N8" s="23" t="str">
        <x:v>Stage 3 State Matrix Final 3.5</x:v>
      </x:c>
      <x:c r="O8" s="23" t="str">
        <x:v>State contract ready</x:v>
      </x:c>
      <x:c r="P8" s="26" t="str">
        <x:v>Pending VIS-001</x:v>
      </x:c>
    </x:row>
    <x:row r="9">
      <x:c r="A9" s="73" t="str">
        <x:v>STC-005</x:v>
      </x:c>
      <x:c r="B9" s="23" t="str">
        <x:v>STATE-006</x:v>
      </x:c>
      <x:c r="C9" s="23" t="str">
        <x:v>Any list</x:v>
      </x:c>
      <x:c r="D9" s="23" t="str">
        <x:v>FilteredEmpty</x:v>
      </x:c>
      <x:c r="E9" s="23" t="str">
        <x:v>Filters yield 0</x:v>
      </x:c>
      <x:c r="F9" s="23" t="str">
        <x:v>Keep filters visible</x:v>
      </x:c>
      <x:c r="G9" s="23" t="str">
        <x:v>Reset/modify</x:v>
      </x:c>
      <x:c r="H9" s="23" t="str">
        <x:v>По выбранным условиям ничего не найдено.</x:v>
      </x:c>
      <x:c r="I9" s="23" t="str">
        <x:v>Reset filters</x:v>
      </x:c>
      <x:c r="J9" s="23" t="str">
        <x:v>200 empty</x:v>
      </x:c>
      <x:c r="K9" s="23" t="str">
        <x:v>EmptyState; DataList</x:v>
      </x:c>
      <x:c r="L9" s="23" t="str">
        <x:v>State frame/component variant + trigger/action/recovery walkthrough + long RU message + 200% scaling</x:v>
      </x:c>
      <x:c r="M9" s="23" t="str">
        <x:v>UIA name/role/state; live announcement where appropriate; deterministic focus; non-color semantics</x:v>
      </x:c>
      <x:c r="N9" s="23" t="str">
        <x:v>Stage 3 State Matrix Final 3.5</x:v>
      </x:c>
      <x:c r="O9" s="23" t="str">
        <x:v>State contract ready</x:v>
      </x:c>
      <x:c r="P9" s="26" t="str">
        <x:v>Pending VIS-001</x:v>
      </x:c>
    </x:row>
    <x:row r="10">
      <x:c r="A10" s="73" t="str">
        <x:v>STC-006</x:v>
      </x:c>
      <x:c r="B10" s="23" t="str"/>
      <x:c r="C10" s="23" t="str">
        <x:v>Any editor</x:v>
      </x:c>
      <x:c r="D10" s="23" t="str">
        <x:v>ValidationError</x:v>
      </x:c>
      <x:c r="E10" s="23" t="str">
        <x:v>422 fieldErrors</x:v>
      </x:c>
      <x:c r="F10" s="23" t="str">
        <x:v>Keep draft; inline errors; focus first</x:v>
      </x:c>
      <x:c r="G10" s="23" t="str">
        <x:v>Correct; cancel</x:v>
      </x:c>
      <x:c r="H10" s="23" t="str">
        <x:v>Проверьте отмеченные поля.</x:v>
      </x:c>
      <x:c r="I10" s="23" t="str">
        <x:v>Resubmit</x:v>
      </x:c>
      <x:c r="J10" s="23" t="str">
        <x:v>VALIDATION_FAILED</x:v>
      </x:c>
      <x:c r="K10" s="23" t="str">
        <x:v>ValidationMessage; FormLayout</x:v>
      </x:c>
      <x:c r="L10" s="23" t="str">
        <x:v>State frame/component variant + trigger/action/recovery walkthrough + long RU message + 200% scaling</x:v>
      </x:c>
      <x:c r="M10" s="23" t="str">
        <x:v>UIA name/role/state; live announcement where appropriate; deterministic focus; non-color semantics</x:v>
      </x:c>
      <x:c r="N10" s="23" t="str">
        <x:v>Stage 3 State Matrix Final 3.5</x:v>
      </x:c>
      <x:c r="O10" s="23" t="str">
        <x:v>State contract ready</x:v>
      </x:c>
      <x:c r="P10" s="26" t="str">
        <x:v>Pending VIS-001</x:v>
      </x:c>
    </x:row>
    <x:row r="11">
      <x:c r="A11" s="73" t="str">
        <x:v>STC-007</x:v>
      </x:c>
      <x:c r="B11" s="23" t="str">
        <x:v>STATE-008</x:v>
      </x:c>
      <x:c r="C11" s="23" t="str">
        <x:v>Any command</x:v>
      </x:c>
      <x:c r="D11" s="23" t="str">
        <x:v>Forbidden</x:v>
      </x:c>
      <x:c r="E11" s="23" t="str">
        <x:v>403 policy deny</x:v>
      </x:c>
      <x:c r="F11" s="23" t="str">
        <x:v>Undo optimistic preview; refresh capability</x:v>
      </x:c>
      <x:c r="G11" s="23" t="str">
        <x:v>Close; external access request</x:v>
      </x:c>
      <x:c r="H11" s="23" t="str">
        <x:v>Действие недоступно для этого объекта.</x:v>
      </x:c>
      <x:c r="I11" s="23" t="str">
        <x:v>Reload capabilities</x:v>
      </x:c>
      <x:c r="J11" s="23" t="str">
        <x:v>FORBIDDEN</x:v>
      </x:c>
      <x:c r="K11" s="23" t="str">
        <x:v>PermissionState; RedactionMarker; InspectorPanel</x:v>
      </x:c>
      <x:c r="L11" s="23" t="str">
        <x:v>State frame/component variant + trigger/action/recovery walkthrough + long RU message + 200% scaling</x:v>
      </x:c>
      <x:c r="M11" s="23" t="str">
        <x:v>UIA name/role/state; live announcement where appropriate; deterministic focus; non-color semantics</x:v>
      </x:c>
      <x:c r="N11" s="23" t="str">
        <x:v>Stage 3 State Matrix Final 3.5</x:v>
      </x:c>
      <x:c r="O11" s="23" t="str">
        <x:v>State contract ready</x:v>
      </x:c>
      <x:c r="P11" s="26" t="str">
        <x:v>Pending VIS-001</x:v>
      </x:c>
    </x:row>
    <x:row r="12">
      <x:c r="A12" s="73" t="str">
        <x:v>STC-008</x:v>
      </x:c>
      <x:c r="B12" s="23" t="str">
        <x:v>STATE-009</x:v>
      </x:c>
      <x:c r="C12" s="23" t="str">
        <x:v>Deep link/card</x:v>
      </x:c>
      <x:c r="D12" s="23" t="str">
        <x:v>ObjectUnavailable</x:v>
      </x:c>
      <x:c r="E12" s="23" t="str">
        <x:v>404 hidden/not found/access revoked</x:v>
      </x:c>
      <x:c r="F12" s="23" t="str">
        <x:v>Neutral unavailable; remove sensitive detail</x:v>
      </x:c>
      <x:c r="G12" s="23" t="str">
        <x:v>Back; search</x:v>
      </x:c>
      <x:c r="H12" s="23" t="str">
        <x:v>Объект недоступен или больше не существует.</x:v>
      </x:c>
      <x:c r="I12" s="23" t="str">
        <x:v>Navigate away</x:v>
      </x:c>
      <x:c r="J12" s="23" t="str">
        <x:v>OBJECT_NOT_VISIBLE</x:v>
      </x:c>
      <x:c r="K12" s="23" t="str">
        <x:v>PermissionState; RedactionMarker; InspectorPanel</x:v>
      </x:c>
      <x:c r="L12" s="23" t="str">
        <x:v>State frame/component variant + trigger/action/recovery walkthrough + long RU message + 200% scaling</x:v>
      </x:c>
      <x:c r="M12" s="23" t="str">
        <x:v>UIA name/role/state; live announcement where appropriate; deterministic focus; non-color semantics</x:v>
      </x:c>
      <x:c r="N12" s="23" t="str">
        <x:v>Stage 3 State Matrix Final 3.5</x:v>
      </x:c>
      <x:c r="O12" s="23" t="str">
        <x:v>State contract ready</x:v>
      </x:c>
      <x:c r="P12" s="26" t="str">
        <x:v>Pending VIS-001</x:v>
      </x:c>
    </x:row>
    <x:row r="13">
      <x:c r="A13" s="73" t="str">
        <x:v>STC-009</x:v>
      </x:c>
      <x:c r="B13" s="23" t="str"/>
      <x:c r="C13" s="23" t="str">
        <x:v>Versioned editor</x:v>
      </x:c>
      <x:c r="D13" s="23" t="str">
        <x:v>Conflict</x:v>
      </x:c>
      <x:c r="E13" s="23" t="str">
        <x:v>If-Match stale</x:v>
      </x:c>
      <x:c r="F13" s="23" t="str">
        <x:v>Keep local draft; open compare</x:v>
      </x:c>
      <x:c r="G13" s="23" t="str">
        <x:v>Reload; compare; reapply; discard</x:v>
      </x:c>
      <x:c r="H13" s="23" t="str">
        <x:v>Объект изменён после открытия.</x:v>
      </x:c>
      <x:c r="I13" s="23" t="str">
        <x:v>Fetch current + new If-Match</x:v>
      </x:c>
      <x:c r="J13" s="23" t="str">
        <x:v>VERSION_CONFLICT</x:v>
      </x:c>
      <x:c r="K13" s="23" t="str">
        <x:v>ConflictNotice; DialogShell</x:v>
      </x:c>
      <x:c r="L13" s="23" t="str">
        <x:v>State frame/component variant + trigger/action/recovery walkthrough + long RU message + 200% scaling</x:v>
      </x:c>
      <x:c r="M13" s="23" t="str">
        <x:v>UIA name/role/state; live announcement where appropriate; deterministic focus; non-color semantics</x:v>
      </x:c>
      <x:c r="N13" s="23" t="str">
        <x:v>Stage 3 State Matrix Final 3.5</x:v>
      </x:c>
      <x:c r="O13" s="23" t="str">
        <x:v>State contract ready</x:v>
      </x:c>
      <x:c r="P13" s="26" t="str">
        <x:v>Pending VIS-001</x:v>
      </x:c>
    </x:row>
    <x:row r="14">
      <x:c r="A14" s="73" t="str">
        <x:v>STC-010</x:v>
      </x:c>
      <x:c r="B14" s="23" t="str"/>
      <x:c r="C14" s="23" t="str">
        <x:v>Write surface</x:v>
      </x:c>
      <x:c r="D14" s="23" t="str">
        <x:v>PreconditionRequired</x:v>
      </x:c>
      <x:c r="E14" s="23" t="str">
        <x:v>Missing If-Match</x:v>
      </x:c>
      <x:c r="F14" s="23" t="str">
        <x:v>Block repeat; refresh object</x:v>
      </x:c>
      <x:c r="G14" s="23" t="str">
        <x:v>Refresh</x:v>
      </x:c>
      <x:c r="H14" s="23" t="str">
        <x:v>Нужно обновить данные перед сохранением.</x:v>
      </x:c>
      <x:c r="I14" s="23" t="str">
        <x:v>GET current version</x:v>
      </x:c>
      <x:c r="J14" s="23" t="str">
        <x:v>PRECONDITION_REQUIRED</x:v>
      </x:c>
      <x:c r="K14" s="23" t="str">
        <x:v>ConflictNotice; DialogShell</x:v>
      </x:c>
      <x:c r="L14" s="23" t="str">
        <x:v>State frame/component variant + trigger/action/recovery walkthrough + long RU message + 200% scaling</x:v>
      </x:c>
      <x:c r="M14" s="23" t="str">
        <x:v>UIA name/role/state; live announcement where appropriate; deterministic focus; non-color semantics</x:v>
      </x:c>
      <x:c r="N14" s="23" t="str">
        <x:v>Stage 3 State Matrix Final 3.5</x:v>
      </x:c>
      <x:c r="O14" s="23" t="str">
        <x:v>State contract ready</x:v>
      </x:c>
      <x:c r="P14" s="26" t="str">
        <x:v>Pending VIS-001</x:v>
      </x:c>
    </x:row>
    <x:row r="15">
      <x:c r="A15" s="73" t="str">
        <x:v>STC-011</x:v>
      </x:c>
      <x:c r="B15" s="23" t="str">
        <x:v>STATE-017</x:v>
      </x:c>
      <x:c r="C15" s="23" t="str">
        <x:v>Archived object</x:v>
      </x:c>
      <x:c r="D15" s="23" t="str">
        <x:v>Archived</x:v>
      </x:c>
      <x:c r="E15" s="23" t="str">
        <x:v>Lifecycle archived</x:v>
      </x:c>
      <x:c r="F15" s="23" t="str">
        <x:v>Read-only banner; no normal Save</x:v>
      </x:c>
      <x:c r="G15" s="23" t="str">
        <x:v>History; unarchive if allowed</x:v>
      </x:c>
      <x:c r="H15" s="23" t="str">
        <x:v>Объект в архиве и доступен только для чтения.</x:v>
      </x:c>
      <x:c r="I15" s="23" t="str">
        <x:v>Unarchive</x:v>
      </x:c>
      <x:c r="J15" s="23" t="str">
        <x:v>OBJECT_ARCHIVED</x:v>
      </x:c>
      <x:c r="K15" s="23" t="str">
        <x:v>LifecycleBanner; ReadOnlyBanner</x:v>
      </x:c>
      <x:c r="L15" s="23" t="str">
        <x:v>State frame/component variant + trigger/action/recovery walkthrough + long RU message + 200% scaling</x:v>
      </x:c>
      <x:c r="M15" s="23" t="str">
        <x:v>UIA name/role/state; live announcement where appropriate; deterministic focus; non-color semantics</x:v>
      </x:c>
      <x:c r="N15" s="23" t="str">
        <x:v>Stage 3 State Matrix Final 3.5</x:v>
      </x:c>
      <x:c r="O15" s="23" t="str">
        <x:v>State contract ready</x:v>
      </x:c>
      <x:c r="P15" s="26" t="str">
        <x:v>Pending VIS-001</x:v>
      </x:c>
    </x:row>
    <x:row r="16">
      <x:c r="A16" s="73" t="str">
        <x:v>STC-012</x:v>
      </x:c>
      <x:c r="B16" s="23" t="str">
        <x:v>STATE-018</x:v>
      </x:c>
      <x:c r="C16" s="23" t="str">
        <x:v>Trashed object</x:v>
      </x:c>
      <x:c r="D16" s="23" t="str">
        <x:v>Trashed</x:v>
      </x:c>
      <x:c r="E16" s="23" t="str">
        <x:v>Lifecycle trashed</x:v>
      </x:c>
      <x:c r="F16" s="23" t="str">
        <x:v>Tombstone view; restore/purge only</x:v>
      </x:c>
      <x:c r="G16" s="23" t="str">
        <x:v>Restore; back</x:v>
      </x:c>
      <x:c r="H16" s="23" t="str">
        <x:v>Объект находится в корзине.</x:v>
      </x:c>
      <x:c r="I16" s="23" t="str">
        <x:v>Restore</x:v>
      </x:c>
      <x:c r="J16" s="23" t="str">
        <x:v>OBJECT_DELETED</x:v>
      </x:c>
      <x:c r="K16" s="23" t="str">
        <x:v>LifecycleBanner; ReadOnlyBanner</x:v>
      </x:c>
      <x:c r="L16" s="23" t="str">
        <x:v>State frame/component variant + trigger/action/recovery walkthrough + long RU message + 200% scaling</x:v>
      </x:c>
      <x:c r="M16" s="23" t="str">
        <x:v>UIA name/role/state; live announcement where appropriate; deterministic focus; non-color semantics</x:v>
      </x:c>
      <x:c r="N16" s="23" t="str">
        <x:v>Stage 3 State Matrix Final 3.5</x:v>
      </x:c>
      <x:c r="O16" s="23" t="str">
        <x:v>State contract ready</x:v>
      </x:c>
      <x:c r="P16" s="26" t="str">
        <x:v>Pending VIS-001</x:v>
      </x:c>
    </x:row>
    <x:row r="17">
      <x:c r="A17" s="73" t="str">
        <x:v>STC-013</x:v>
      </x:c>
      <x:c r="B17" s="23" t="str">
        <x:v>STATE-010</x:v>
      </x:c>
      <x:c r="C17" s="23" t="str">
        <x:v>Global shell</x:v>
      </x:c>
      <x:c r="D17" s="23" t="str">
        <x:v>ServerUnavailable</x:v>
      </x:c>
      <x:c r="E17" s="23" t="str">
        <x:v>REST/readiness failure</x:v>
      </x:c>
      <x:c r="F17" s="23" t="str">
        <x:v>Persistent banner; cache read-only; writes disabled</x:v>
      </x:c>
      <x:c r="G17" s="23" t="str">
        <x:v>Retry; diagnostics; local file open</x:v>
      </x:c>
      <x:c r="H17" s="23" t="str">
        <x:v>Нет подключения. Показаны данные на {time}.</x:v>
      </x:c>
      <x:c r="I17" s="23" t="str">
        <x:v>Reconnect + sync</x:v>
      </x:c>
      <x:c r="J17" s="23" t="str">
        <x:v>DATABASE_UNAVAILABLE / DEPENDENCY_UNAVAILABLE</x:v>
      </x:c>
      <x:c r="K17" s="23" t="str">
        <x:v>ConnectivityBanner; ConnectionStatus; ReadOnlyBanner</x:v>
      </x:c>
      <x:c r="L17" s="23" t="str">
        <x:v>State frame/component variant + trigger/action/recovery walkthrough + long RU message + 200% scaling</x:v>
      </x:c>
      <x:c r="M17" s="23" t="str">
        <x:v>UIA name/role/state; live announcement where appropriate; deterministic focus; non-color semantics</x:v>
      </x:c>
      <x:c r="N17" s="23" t="str">
        <x:v>Stage 3 State Matrix Final 3.5</x:v>
      </x:c>
      <x:c r="O17" s="23" t="str">
        <x:v>State contract ready</x:v>
      </x:c>
      <x:c r="P17" s="26" t="str">
        <x:v>Pending VIS-001</x:v>
      </x:c>
    </x:row>
    <x:row r="18">
      <x:c r="A18" s="73" t="str">
        <x:v>STC-014</x:v>
      </x:c>
      <x:c r="B18" s="23" t="str">
        <x:v>STATE-012</x:v>
      </x:c>
      <x:c r="C18" s="23" t="str">
        <x:v>Global shell</x:v>
      </x:c>
      <x:c r="D18" s="23" t="str">
        <x:v>Reconnecting</x:v>
      </x:c>
      <x:c r="E18" s="23" t="str">
        <x:v>Server likely returns</x:v>
      </x:c>
      <x:c r="F18" s="23" t="str">
        <x:v>Keep read-only until auth+sync</x:v>
      </x:c>
      <x:c r="G18" s="23" t="str">
        <x:v>Diagnostics</x:v>
      </x:c>
      <x:c r="H18" s="23" t="str">
        <x:v>Восстанавливаем подключение…</x:v>
      </x:c>
      <x:c r="I18" s="23" t="str">
        <x:v>Auth + change feed</x:v>
      </x:c>
      <x:c r="J18" s="23" t="str">
        <x:v>—</x:v>
      </x:c>
      <x:c r="K18" s="23" t="str">
        <x:v>ConnectivityBanner; ConnectionStatus; ReadOnlyBanner</x:v>
      </x:c>
      <x:c r="L18" s="23" t="str">
        <x:v>State frame/component variant + trigger/action/recovery walkthrough + long RU message + 200% scaling</x:v>
      </x:c>
      <x:c r="M18" s="23" t="str">
        <x:v>UIA name/role/state; live announcement where appropriate; deterministic focus; non-color semantics</x:v>
      </x:c>
      <x:c r="N18" s="23" t="str">
        <x:v>Stage 3 State Matrix Final 3.5</x:v>
      </x:c>
      <x:c r="O18" s="23" t="str">
        <x:v>State contract ready</x:v>
      </x:c>
      <x:c r="P18" s="26" t="str">
        <x:v>Pending VIS-001</x:v>
      </x:c>
    </x:row>
    <x:row r="19">
      <x:c r="A19" s="73" t="str">
        <x:v>STC-015</x:v>
      </x:c>
      <x:c r="B19" s="23" t="str">
        <x:v>STATE-022</x:v>
      </x:c>
      <x:c r="C19" s="23" t="str">
        <x:v>Global shell</x:v>
      </x:c>
      <x:c r="D19" s="23" t="str">
        <x:v>Maintenance</x:v>
      </x:c>
      <x:c r="E19" s="23" t="str">
        <x:v>503 retryAfter</x:v>
      </x:c>
      <x:c r="F19" s="23" t="str">
        <x:v>Writes blocked; cached read allowed</x:v>
      </x:c>
      <x:c r="G19" s="23" t="str">
        <x:v>Retry later; diagnostics</x:v>
      </x:c>
      <x:c r="H19" s="23" t="str">
        <x:v>Сервер временно на обслуживании.</x:v>
      </x:c>
      <x:c r="I19" s="23" t="str">
        <x:v>Reconnect</x:v>
      </x:c>
      <x:c r="J19" s="23" t="str">
        <x:v>MAINTENANCE_MODE</x:v>
      </x:c>
      <x:c r="K19" s="23" t="str">
        <x:v>ConnectivityBanner; ConnectionStatus; ReadOnlyBanner</x:v>
      </x:c>
      <x:c r="L19" s="23" t="str">
        <x:v>State frame/component variant + trigger/action/recovery walkthrough + long RU message + 200% scaling</x:v>
      </x:c>
      <x:c r="M19" s="23" t="str">
        <x:v>UIA name/role/state; live announcement where appropriate; deterministic focus; non-color semantics</x:v>
      </x:c>
      <x:c r="N19" s="23" t="str">
        <x:v>Stage 3 State Matrix Final 3.5</x:v>
      </x:c>
      <x:c r="O19" s="23" t="str">
        <x:v>State contract ready</x:v>
      </x:c>
      <x:c r="P19" s="26" t="str">
        <x:v>Pending VIS-001</x:v>
      </x:c>
    </x:row>
    <x:row r="20">
      <x:c r="A20" s="73" t="str">
        <x:v>STC-016</x:v>
      </x:c>
      <x:c r="B20" s="23" t="str">
        <x:v>STATE-035</x:v>
      </x:c>
      <x:c r="C20" s="23" t="str">
        <x:v>Global shell</x:v>
      </x:c>
      <x:c r="D20" s="23" t="str">
        <x:v>StorageFull</x:v>
      </x:c>
      <x:c r="E20" s="23" t="str">
        <x:v>507</x:v>
      </x:c>
      <x:c r="F20" s="23" t="str">
        <x:v>Critical banner; all writes disabled</x:v>
      </x:c>
      <x:c r="G20" s="23" t="str">
        <x:v>Admin diagnostics</x:v>
      </x:c>
      <x:c r="H20" s="23" t="str">
        <x:v>На сервере недостаточно места. Изменения недоступны.</x:v>
      </x:c>
      <x:c r="I20" s="23" t="str">
        <x:v>Admin frees storage</x:v>
      </x:c>
      <x:c r="J20" s="23" t="str">
        <x:v>STORAGE_FULL</x:v>
      </x:c>
      <x:c r="K20" s="23" t="str">
        <x:v>ConnectivityBanner; ConnectionStatus; ReadOnlyBanner</x:v>
      </x:c>
      <x:c r="L20" s="23" t="str">
        <x:v>State frame/component variant + trigger/action/recovery walkthrough + long RU message + 200% scaling</x:v>
      </x:c>
      <x:c r="M20" s="23" t="str">
        <x:v>UIA name/role/state; live announcement where appropriate; deterministic focus; non-color semantics</x:v>
      </x:c>
      <x:c r="N20" s="23" t="str">
        <x:v>Stage 3 State Matrix Final 3.5</x:v>
      </x:c>
      <x:c r="O20" s="23" t="str">
        <x:v>State contract ready</x:v>
      </x:c>
      <x:c r="P20" s="26" t="str">
        <x:v>Pending VIS-001</x:v>
      </x:c>
    </x:row>
    <x:row r="21">
      <x:c r="A21" s="73" t="str">
        <x:v>STC-017</x:v>
      </x:c>
      <x:c r="B21" s="23" t="str">
        <x:v>STATE-023</x:v>
      </x:c>
      <x:c r="C21" s="23" t="str">
        <x:v>Global shell</x:v>
      </x:c>
      <x:c r="D21" s="23" t="str">
        <x:v>ClientUnsupported</x:v>
      </x:c>
      <x:c r="E21" s="23" t="str">
        <x:v>426</x:v>
      </x:c>
      <x:c r="F21" s="23" t="str">
        <x:v>Blocking update page</x:v>
      </x:c>
      <x:c r="G21" s="23" t="str">
        <x:v>Update; close</x:v>
      </x:c>
      <x:c r="H21" s="23" t="str">
        <x:v>Требуется обновление приложения.</x:v>
      </x:c>
      <x:c r="I21" s="23" t="str">
        <x:v>Install signed client</x:v>
      </x:c>
      <x:c r="J21" s="23" t="str">
        <x:v>CLIENT_VERSION_UNSUPPORTED</x:v>
      </x:c>
      <x:c r="K21" s="23" t="str">
        <x:v>SemanticStatus; ErrorMessage</x:v>
      </x:c>
      <x:c r="L21" s="23" t="str">
        <x:v>State frame/component variant + trigger/action/recovery walkthrough + long RU message + 200% scaling</x:v>
      </x:c>
      <x:c r="M21" s="23" t="str">
        <x:v>UIA name/role/state; live announcement where appropriate; deterministic focus; non-color semantics</x:v>
      </x:c>
      <x:c r="N21" s="23" t="str">
        <x:v>Stage 3 State Matrix Final 3.5</x:v>
      </x:c>
      <x:c r="O21" s="23" t="str">
        <x:v>State contract ready</x:v>
      </x:c>
      <x:c r="P21" s="26" t="str">
        <x:v>Pending VIS-001</x:v>
      </x:c>
    </x:row>
    <x:row r="22">
      <x:c r="A22" s="73" t="str">
        <x:v>STC-018</x:v>
      </x:c>
      <x:c r="B22" s="23" t="str">
        <x:v>STATE-013</x:v>
      </x:c>
      <x:c r="C22" s="23" t="str">
        <x:v>Sync</x:v>
      </x:c>
      <x:c r="D22" s="23" t="str">
        <x:v>SyncPending</x:v>
      </x:c>
      <x:c r="E22" s="23" t="str">
        <x:v>Invalidation/startup catch-up</x:v>
      </x:c>
      <x:c r="F22" s="23" t="str">
        <x:v>Current data + updating indicator; sensitive writes may wait</x:v>
      </x:c>
      <x:c r="G22" s="23" t="str">
        <x:v>Sync now; diagnostics</x:v>
      </x:c>
      <x:c r="H22" s="23" t="str">
        <x:v>Применяем изменения…</x:v>
      </x:c>
      <x:c r="I22" s="23" t="str">
        <x:v>Ack cursor</x:v>
      </x:c>
      <x:c r="J22" s="23" t="str">
        <x:v>—</x:v>
      </x:c>
      <x:c r="K22" s="23" t="str">
        <x:v>LoadingState; ProgressIndicator</x:v>
      </x:c>
      <x:c r="L22" s="23" t="str">
        <x:v>State frame/component variant + trigger/action/recovery walkthrough + long RU message + 200% scaling</x:v>
      </x:c>
      <x:c r="M22" s="23" t="str">
        <x:v>UIA name/role/state; live announcement where appropriate; deterministic focus; non-color semantics</x:v>
      </x:c>
      <x:c r="N22" s="23" t="str">
        <x:v>Stage 3 State Matrix Final 3.5</x:v>
      </x:c>
      <x:c r="O22" s="23" t="str">
        <x:v>State contract ready</x:v>
      </x:c>
      <x:c r="P22" s="26" t="str">
        <x:v>Pending VIS-001</x:v>
      </x:c>
    </x:row>
    <x:row r="23">
      <x:c r="A23" s="73" t="str">
        <x:v>STC-019</x:v>
      </x:c>
      <x:c r="B23" s="23" t="str">
        <x:v>STATE-036</x:v>
      </x:c>
      <x:c r="C23" s="23" t="str">
        <x:v>Sync</x:v>
      </x:c>
      <x:c r="D23" s="23" t="str">
        <x:v>CursorExpired</x:v>
      </x:c>
      <x:c r="E23" s="23" t="str">
        <x:v>410 compacted cursor</x:v>
      </x:c>
      <x:c r="F23" s="23" t="str">
        <x:v>Clear disposable projections</x:v>
      </x:c>
      <x:c r="G23" s="23" t="str">
        <x:v>Bootstrap</x:v>
      </x:c>
      <x:c r="H23" s="23" t="str">
        <x:v>Локальные данные нужно обновить заново.</x:v>
      </x:c>
      <x:c r="I23" s="23" t="str">
        <x:v>Bootstrap</x:v>
      </x:c>
      <x:c r="J23" s="23" t="str">
        <x:v>SYNC_CURSOR_EXPIRED</x:v>
      </x:c>
      <x:c r="K23" s="23" t="str">
        <x:v>SearchBox; DataList</x:v>
      </x:c>
      <x:c r="L23" s="23" t="str">
        <x:v>State frame/component variant + trigger/action/recovery walkthrough + long RU message + 200% scaling</x:v>
      </x:c>
      <x:c r="M23" s="23" t="str">
        <x:v>UIA name/role/state; live announcement where appropriate; deterministic focus; non-color semantics</x:v>
      </x:c>
      <x:c r="N23" s="23" t="str">
        <x:v>Stage 3 State Matrix Final 3.5</x:v>
      </x:c>
      <x:c r="O23" s="23" t="str">
        <x:v>State contract ready</x:v>
      </x:c>
      <x:c r="P23" s="26" t="str">
        <x:v>Pending VIS-001</x:v>
      </x:c>
    </x:row>
    <x:row r="24">
      <x:c r="A24" s="73" t="str">
        <x:v>STC-020</x:v>
      </x:c>
      <x:c r="B24" s="23" t="str">
        <x:v>STATE-024</x:v>
      </x:c>
      <x:c r="C24" s="23" t="str">
        <x:v>Sync</x:v>
      </x:c>
      <x:c r="D24" s="23" t="str">
        <x:v>AccessScopeChanged</x:v>
      </x:c>
      <x:c r="E24" s="23" t="str">
        <x:v>409 scopeVersion</x:v>
      </x:c>
      <x:c r="F24" s="23" t="str">
        <x:v>Block sensitive routes; purge before render</x:v>
      </x:c>
      <x:c r="G24" s="23" t="str">
        <x:v>Reauthenticate if needed</x:v>
      </x:c>
      <x:c r="H24" s="23" t="str">
        <x:v>Права доступа изменились. Обновляем данные.</x:v>
      </x:c>
      <x:c r="I24" s="23" t="str">
        <x:v>Bootstrap new scope</x:v>
      </x:c>
      <x:c r="J24" s="23" t="str">
        <x:v>SYNC_SCOPE_CHANGED</x:v>
      </x:c>
      <x:c r="K24" s="23" t="str">
        <x:v>SemanticStatus; ErrorMessage</x:v>
      </x:c>
      <x:c r="L24" s="23" t="str">
        <x:v>State frame/component variant + trigger/action/recovery walkthrough + long RU message + 200% scaling</x:v>
      </x:c>
      <x:c r="M24" s="23" t="str">
        <x:v>UIA name/role/state; live announcement where appropriate; deterministic focus; non-color semantics</x:v>
      </x:c>
      <x:c r="N24" s="23" t="str">
        <x:v>Stage 3 State Matrix Final 3.5</x:v>
      </x:c>
      <x:c r="O24" s="23" t="str">
        <x:v>State contract ready</x:v>
      </x:c>
      <x:c r="P24" s="26" t="str">
        <x:v>Pending VIS-001</x:v>
      </x:c>
    </x:row>
    <x:row r="25">
      <x:c r="A25" s="73" t="str">
        <x:v>STC-021</x:v>
      </x:c>
      <x:c r="B25" s="23" t="str"/>
      <x:c r="C25" s="23" t="str">
        <x:v>Search</x:v>
      </x:c>
      <x:c r="D25" s="23" t="str">
        <x:v>OfflinePartial</x:v>
      </x:c>
      <x:c r="E25" s="23" t="str">
        <x:v>Server unavailable</x:v>
      </x:c>
      <x:c r="F25" s="23" t="str">
        <x:v>Cache-only results + completeness banner</x:v>
      </x:c>
      <x:c r="G25" s="23" t="str">
        <x:v>Reconnect; clear query</x:v>
      </x:c>
      <x:c r="H25" s="23" t="str">
        <x:v>Показаны только сохранённые результаты.</x:v>
      </x:c>
      <x:c r="I25" s="23" t="str">
        <x:v>Online search</x:v>
      </x:c>
      <x:c r="J25" s="23" t="str">
        <x:v>DATABASE_UNAVAILABLE</x:v>
      </x:c>
      <x:c r="K25" s="23" t="str">
        <x:v>ConnectivityBanner; ConnectionStatus; ReadOnlyBanner; SearchBox; DataList</x:v>
      </x:c>
      <x:c r="L25" s="23" t="str">
        <x:v>State frame/component variant + trigger/action/recovery walkthrough + long RU message + 200% scaling</x:v>
      </x:c>
      <x:c r="M25" s="23" t="str">
        <x:v>UIA name/role/state; live announcement where appropriate; deterministic focus; non-color semantics</x:v>
      </x:c>
      <x:c r="N25" s="23" t="str">
        <x:v>Stage 3 State Matrix Final 3.5</x:v>
      </x:c>
      <x:c r="O25" s="23" t="str">
        <x:v>State contract ready</x:v>
      </x:c>
      <x:c r="P25" s="26" t="str">
        <x:v>Pending VIS-001</x:v>
      </x:c>
    </x:row>
    <x:row r="26">
      <x:c r="A26" s="73" t="str">
        <x:v>STC-022</x:v>
      </x:c>
      <x:c r="B26" s="23" t="str"/>
      <x:c r="C26" s="23" t="str">
        <x:v>Search</x:v>
      </x:c>
      <x:c r="D26" s="23" t="str">
        <x:v>ZeroResults</x:v>
      </x:c>
      <x:c r="E26" s="23" t="str">
        <x:v>Search returns 0</x:v>
      </x:c>
      <x:c r="F26" s="23" t="str">
        <x:v>Suggestions; no hidden count</x:v>
      </x:c>
      <x:c r="G26" s="23" t="str">
        <x:v>Adjust query/filter</x:v>
      </x:c>
      <x:c r="H26" s="23" t="str">
        <x:v>Ничего не найдено.</x:v>
      </x:c>
      <x:c r="I26" s="23" t="str">
        <x:v>New query</x:v>
      </x:c>
      <x:c r="J26" s="23" t="str">
        <x:v>200 empty</x:v>
      </x:c>
      <x:c r="K26" s="23" t="str">
        <x:v>EmptyState; DataList; SearchBox</x:v>
      </x:c>
      <x:c r="L26" s="23" t="str">
        <x:v>State frame/component variant + trigger/action/recovery walkthrough + long RU message + 200% scaling</x:v>
      </x:c>
      <x:c r="M26" s="23" t="str">
        <x:v>UIA name/role/state; live announcement where appropriate; deterministic focus; non-color semantics</x:v>
      </x:c>
      <x:c r="N26" s="23" t="str">
        <x:v>Stage 3 State Matrix Final 3.5</x:v>
      </x:c>
      <x:c r="O26" s="23" t="str">
        <x:v>State contract ready</x:v>
      </x:c>
      <x:c r="P26" s="26" t="str">
        <x:v>Pending VIS-001</x:v>
      </x:c>
    </x:row>
    <x:row r="27">
      <x:c r="A27" s="73" t="str">
        <x:v>STC-023</x:v>
      </x:c>
      <x:c r="B27" s="23" t="str"/>
      <x:c r="C27" s="23" t="str">
        <x:v>Today</x:v>
      </x:c>
      <x:c r="D27" s="23" t="str">
        <x:v>SectionFailure</x:v>
      </x:c>
      <x:c r="E27" s="23" t="str">
        <x:v>One composed block fails</x:v>
      </x:c>
      <x:c r="F27" s="23" t="str">
        <x:v>Render other blocks; inline retry</x:v>
      </x:c>
      <x:c r="G27" s="23" t="str">
        <x:v>Retry block; source module</x:v>
      </x:c>
      <x:c r="H27" s="23" t="str">
        <x:v>Не удалось загрузить этот блок.</x:v>
      </x:c>
      <x:c r="I27" s="23" t="str">
        <x:v>Retry read model</x:v>
      </x:c>
      <x:c r="J27" s="23" t="str">
        <x:v>TIMEOUT / DEPENDENCY_UNAVAILABLE</x:v>
      </x:c>
      <x:c r="K27" s="23" t="str">
        <x:v>SemanticStatus; ErrorMessage</x:v>
      </x:c>
      <x:c r="L27" s="23" t="str">
        <x:v>State frame/component variant + trigger/action/recovery walkthrough + long RU message + 200% scaling</x:v>
      </x:c>
      <x:c r="M27" s="23" t="str">
        <x:v>UIA name/role/state; live announcement where appropriate; deterministic focus; non-color semantics</x:v>
      </x:c>
      <x:c r="N27" s="23" t="str">
        <x:v>Stage 3 State Matrix Final 3.5</x:v>
      </x:c>
      <x:c r="O27" s="23" t="str">
        <x:v>State contract ready</x:v>
      </x:c>
      <x:c r="P27" s="26" t="str">
        <x:v>Pending VIS-001</x:v>
      </x:c>
    </x:row>
    <x:row r="28">
      <x:c r="A28" s="73" t="str">
        <x:v>STC-024</x:v>
      </x:c>
      <x:c r="B28" s="23" t="str"/>
      <x:c r="C28" s="23" t="str">
        <x:v>Today</x:v>
      </x:c>
      <x:c r="D28" s="23" t="str">
        <x:v>NoItems</x:v>
      </x:c>
      <x:c r="E28" s="23" t="str">
        <x:v>All Today blocks empty</x:v>
      </x:c>
      <x:c r="F28" s="23" t="str">
        <x:v>Date + quick create; no celebratory noise</x:v>
      </x:c>
      <x:c r="G28" s="23" t="str">
        <x:v>Create task/event; Inbox</x:v>
      </x:c>
      <x:c r="H28" s="23" t="str">
        <x:v>На сегодня ничего не запланировано.</x:v>
      </x:c>
      <x:c r="I28" s="23" t="str">
        <x:v>Plan work</x:v>
      </x:c>
      <x:c r="J28" s="23" t="str">
        <x:v>200 empty</x:v>
      </x:c>
      <x:c r="K28" s="23" t="str">
        <x:v>EmptyState; DataList</x:v>
      </x:c>
      <x:c r="L28" s="23" t="str">
        <x:v>State frame/component variant + trigger/action/recovery walkthrough + long RU message + 200% scaling</x:v>
      </x:c>
      <x:c r="M28" s="23" t="str">
        <x:v>UIA name/role/state; live announcement where appropriate; deterministic focus; non-color semantics</x:v>
      </x:c>
      <x:c r="N28" s="23" t="str">
        <x:v>Stage 3 State Matrix Final 3.5</x:v>
      </x:c>
      <x:c r="O28" s="23" t="str">
        <x:v>State contract ready</x:v>
      </x:c>
      <x:c r="P28" s="26" t="str">
        <x:v>Pending VIS-001</x:v>
      </x:c>
    </x:row>
    <x:row r="29">
      <x:c r="A29" s="73" t="str">
        <x:v>STC-025</x:v>
      </x:c>
      <x:c r="B29" s="23" t="str"/>
      <x:c r="C29" s="23" t="str">
        <x:v>Task</x:v>
      </x:c>
      <x:c r="D29" s="23" t="str">
        <x:v>InvalidTransition</x:v>
      </x:c>
      <x:c r="E29" s="23" t="str">
        <x:v>State machine rejects</x:v>
      </x:c>
      <x:c r="F29" s="23" t="str">
        <x:v>Refresh status; allowed transitions only</x:v>
      </x:c>
      <x:c r="G29" s="23" t="str">
        <x:v>Open; choose allowed</x:v>
      </x:c>
      <x:c r="H29" s="23" t="str">
        <x:v>Переход недоступен в текущем состоянии.</x:v>
      </x:c>
      <x:c r="I29" s="23" t="str">
        <x:v>Reload</x:v>
      </x:c>
      <x:c r="J29" s="23" t="str">
        <x:v>INVALID_STATE_TRANSITION</x:v>
      </x:c>
      <x:c r="K29" s="23" t="str">
        <x:v>ValidationMessage; FormLayout</x:v>
      </x:c>
      <x:c r="L29" s="23" t="str">
        <x:v>State frame/component variant + trigger/action/recovery walkthrough + long RU message + 200% scaling</x:v>
      </x:c>
      <x:c r="M29" s="23" t="str">
        <x:v>UIA name/role/state; live announcement where appropriate; deterministic focus; non-color semantics</x:v>
      </x:c>
      <x:c r="N29" s="23" t="str">
        <x:v>Stage 3 State Matrix Final 3.5</x:v>
      </x:c>
      <x:c r="O29" s="23" t="str">
        <x:v>State contract ready</x:v>
      </x:c>
      <x:c r="P29" s="26" t="str">
        <x:v>Pending VIS-001</x:v>
      </x:c>
    </x:row>
    <x:row r="30">
      <x:c r="A30" s="73" t="str">
        <x:v>STC-026</x:v>
      </x:c>
      <x:c r="B30" s="23" t="str"/>
      <x:c r="C30" s="23" t="str">
        <x:v>Task</x:v>
      </x:c>
      <x:c r="D30" s="23" t="str">
        <x:v>SubtaskDepthExceeded</x:v>
      </x:c>
      <x:c r="E30" s="23" t="str">
        <x:v>Parent already has parent</x:v>
      </x:c>
      <x:c r="F30" s="23" t="str">
        <x:v>Keep draft; offer sibling</x:v>
      </x:c>
      <x:c r="G30" s="23" t="str">
        <x:v>Create sibling</x:v>
      </x:c>
      <x:c r="H30" s="23" t="str">
        <x:v>Допустим только один уровень подзадач.</x:v>
      </x:c>
      <x:c r="I30" s="23" t="str">
        <x:v>Change parent</x:v>
      </x:c>
      <x:c r="J30" s="23" t="str">
        <x:v>SUBTASK_DEPTH_EXCEEDED</x:v>
      </x:c>
      <x:c r="K30" s="23" t="str">
        <x:v>SemanticStatus; ErrorMessage</x:v>
      </x:c>
      <x:c r="L30" s="23" t="str">
        <x:v>State frame/component variant + trigger/action/recovery walkthrough + long RU message + 200% scaling</x:v>
      </x:c>
      <x:c r="M30" s="23" t="str">
        <x:v>UIA name/role/state; live announcement where appropriate; deterministic focus; non-color semantics</x:v>
      </x:c>
      <x:c r="N30" s="23" t="str">
        <x:v>Stage 3 State Matrix Final 3.5</x:v>
      </x:c>
      <x:c r="O30" s="23" t="str">
        <x:v>State contract ready</x:v>
      </x:c>
      <x:c r="P30" s="26" t="str">
        <x:v>Pending VIS-001</x:v>
      </x:c>
    </x:row>
    <x:row r="31">
      <x:c r="A31" s="73" t="str">
        <x:v>STC-027</x:v>
      </x:c>
      <x:c r="B31" s="23" t="str"/>
      <x:c r="C31" s="23" t="str">
        <x:v>Task dependency</x:v>
      </x:c>
      <x:c r="D31" s="23" t="str">
        <x:v>Cycle</x:v>
      </x:c>
      <x:c r="E31" s="23" t="str">
        <x:v>New edge creates cycle</x:v>
      </x:c>
      <x:c r="F31" s="23" t="str">
        <x:v>Highlight edge; no save</x:v>
      </x:c>
      <x:c r="G31" s="23" t="str">
        <x:v>Remove/change link</x:v>
      </x:c>
      <x:c r="H31" s="23" t="str">
        <x:v>Эта связь создаёт цикл.</x:v>
      </x:c>
      <x:c r="I31" s="23" t="str">
        <x:v>Edit relation</x:v>
      </x:c>
      <x:c r="J31" s="23" t="str">
        <x:v>DEPENDENCY_CYCLE</x:v>
      </x:c>
      <x:c r="K31" s="23" t="str">
        <x:v>ValidationMessage; FormLayout</x:v>
      </x:c>
      <x:c r="L31" s="23" t="str">
        <x:v>State frame/component variant + trigger/action/recovery walkthrough + long RU message + 200% scaling</x:v>
      </x:c>
      <x:c r="M31" s="23" t="str">
        <x:v>UIA name/role/state; live announcement where appropriate; deterministic focus; non-color semantics</x:v>
      </x:c>
      <x:c r="N31" s="23" t="str">
        <x:v>Stage 3 State Matrix Final 3.5</x:v>
      </x:c>
      <x:c r="O31" s="23" t="str">
        <x:v>State contract ready</x:v>
      </x:c>
      <x:c r="P31" s="26" t="str">
        <x:v>Pending VIS-001</x:v>
      </x:c>
    </x:row>
    <x:row r="32">
      <x:c r="A32" s="73" t="str">
        <x:v>STC-028</x:v>
      </x:c>
      <x:c r="B32" s="23" t="str"/>
      <x:c r="C32" s="23" t="str">
        <x:v>Recurrence</x:v>
      </x:c>
      <x:c r="D32" s="23" t="str">
        <x:v>RuleInvalid</x:v>
      </x:c>
      <x:c r="E32" s="23" t="str">
        <x:v>Rule/timezone validation</x:v>
      </x:c>
      <x:c r="F32" s="23" t="str">
        <x:v>Highlight rule; preview issue</x:v>
      </x:c>
      <x:c r="G32" s="23" t="str">
        <x:v>Correct</x:v>
      </x:c>
      <x:c r="H32" s="23" t="str">
        <x:v>Правило повторения некорректно.</x:v>
      </x:c>
      <x:c r="I32" s="23" t="str">
        <x:v>Preview/resubmit</x:v>
      </x:c>
      <x:c r="J32" s="23" t="str">
        <x:v>RECURRENCE_RULE_INVALID</x:v>
      </x:c>
      <x:c r="K32" s="23" t="str">
        <x:v>ValidationMessage; FormLayout</x:v>
      </x:c>
      <x:c r="L32" s="23" t="str">
        <x:v>State frame/component variant + trigger/action/recovery walkthrough + long RU message + 200% scaling</x:v>
      </x:c>
      <x:c r="M32" s="23" t="str">
        <x:v>UIA name/role/state; live announcement where appropriate; deterministic focus; non-color semantics</x:v>
      </x:c>
      <x:c r="N32" s="23" t="str">
        <x:v>Stage 3 State Matrix Final 3.5</x:v>
      </x:c>
      <x:c r="O32" s="23" t="str">
        <x:v>State contract ready</x:v>
      </x:c>
      <x:c r="P32" s="26" t="str">
        <x:v>Pending VIS-001</x:v>
      </x:c>
    </x:row>
    <x:row r="33">
      <x:c r="A33" s="73" t="str">
        <x:v>STC-029</x:v>
      </x:c>
      <x:c r="B33" s="23" t="str"/>
      <x:c r="C33" s="23" t="str">
        <x:v>Recurrence</x:v>
      </x:c>
      <x:c r="D33" s="23" t="str">
        <x:v>BackgroundApply</x:v>
      </x:c>
      <x:c r="E33" s="23" t="str">
        <x:v>Series change accepted async</x:v>
      </x:c>
      <x:c r="F33" s="23" t="str">
        <x:v>Affected count/progress</x:v>
      </x:c>
      <x:c r="G33" s="23" t="str">
        <x:v>View status; close</x:v>
      </x:c>
      <x:c r="H33" s="23" t="str">
        <x:v>Изменение серии применяется…</x:v>
      </x:c>
      <x:c r="I33" s="23" t="str">
        <x:v>Events/poll</x:v>
      </x:c>
      <x:c r="J33" s="23" t="str">
        <x:v>202/background</x:v>
      </x:c>
      <x:c r="K33" s="23" t="str">
        <x:v>LoadingState; ProgressIndicator</x:v>
      </x:c>
      <x:c r="L33" s="23" t="str">
        <x:v>State frame/component variant + trigger/action/recovery walkthrough + long RU message + 200% scaling</x:v>
      </x:c>
      <x:c r="M33" s="23" t="str">
        <x:v>UIA name/role/state; live announcement where appropriate; deterministic focus; non-color semantics</x:v>
      </x:c>
      <x:c r="N33" s="23" t="str">
        <x:v>Stage 3 State Matrix Final 3.5</x:v>
      </x:c>
      <x:c r="O33" s="23" t="str">
        <x:v>State contract ready</x:v>
      </x:c>
      <x:c r="P33" s="26" t="str">
        <x:v>Pending VIS-001</x:v>
      </x:c>
    </x:row>
    <x:row r="34">
      <x:c r="A34" s="73" t="str">
        <x:v>STC-030</x:v>
      </x:c>
      <x:c r="B34" s="23" t="str"/>
      <x:c r="C34" s="23" t="str">
        <x:v>Calendar</x:v>
      </x:c>
      <x:c r="D34" s="23" t="str">
        <x:v>RangeTooLarge</x:v>
      </x:c>
      <x:c r="E34" s="23" t="str">
        <x:v>Range exceeds API limit</x:v>
      </x:c>
      <x:c r="F34" s="23" t="str">
        <x:v>Keep current range; offer valid view</x:v>
      </x:c>
      <x:c r="G34" s="23" t="str">
        <x:v>Choose day/week/month</x:v>
      </x:c>
      <x:c r="H34" s="23" t="str">
        <x:v>Выбран слишком большой период.</x:v>
      </x:c>
      <x:c r="I34" s="23" t="str">
        <x:v>Reduce range</x:v>
      </x:c>
      <x:c r="J34" s="23" t="str">
        <x:v>CALENDAR_RANGE_TOO_LARGE</x:v>
      </x:c>
      <x:c r="K34" s="23" t="str">
        <x:v>ValidationMessage; FormLayout</x:v>
      </x:c>
      <x:c r="L34" s="23" t="str">
        <x:v>State frame/component variant + trigger/action/recovery walkthrough + long RU message + 200% scaling</x:v>
      </x:c>
      <x:c r="M34" s="23" t="str">
        <x:v>UIA name/role/state; live announcement where appropriate; deterministic focus; non-color semantics</x:v>
      </x:c>
      <x:c r="N34" s="23" t="str">
        <x:v>Stage 3 State Matrix Final 3.5</x:v>
      </x:c>
      <x:c r="O34" s="23" t="str">
        <x:v>State contract ready</x:v>
      </x:c>
      <x:c r="P34" s="26" t="str">
        <x:v>Pending VIS-001</x:v>
      </x:c>
    </x:row>
    <x:row r="35">
      <x:c r="A35" s="73" t="str">
        <x:v>STC-031</x:v>
      </x:c>
      <x:c r="B35" s="23" t="str"/>
      <x:c r="C35" s="23" t="str">
        <x:v>Calendar drag</x:v>
      </x:c>
      <x:c r="D35" s="23" t="str">
        <x:v>DragConflict</x:v>
      </x:c>
      <x:c r="E35" s="23" t="str">
        <x:v>Move/resize stale</x:v>
      </x:c>
      <x:c r="F35" s="23" t="str">
        <x:v>Visual rollback + conflict dialog</x:v>
      </x:c>
      <x:c r="G35" s="23" t="str">
        <x:v>Reload; new slot</x:v>
      </x:c>
      <x:c r="H35" s="23" t="str">
        <x:v>Расписание изменилось до сохранения.</x:v>
      </x:c>
      <x:c r="I35" s="23" t="str">
        <x:v>Fetch/retry</x:v>
      </x:c>
      <x:c r="J35" s="23" t="str">
        <x:v>VERSION_CONFLICT</x:v>
      </x:c>
      <x:c r="K35" s="23" t="str">
        <x:v>ConflictNotice; DialogShell</x:v>
      </x:c>
      <x:c r="L35" s="23" t="str">
        <x:v>State frame/component variant + trigger/action/recovery walkthrough + long RU message + 200% scaling</x:v>
      </x:c>
      <x:c r="M35" s="23" t="str">
        <x:v>UIA name/role/state; live announcement where appropriate; deterministic focus; non-color semantics</x:v>
      </x:c>
      <x:c r="N35" s="23" t="str">
        <x:v>Stage 3 State Matrix Final 3.5</x:v>
      </x:c>
      <x:c r="O35" s="23" t="str">
        <x:v>State contract ready</x:v>
      </x:c>
      <x:c r="P35" s="26" t="str">
        <x:v>Pending VIS-001</x:v>
      </x:c>
    </x:row>
    <x:row r="36">
      <x:c r="A36" s="73" t="str">
        <x:v>STC-032</x:v>
      </x:c>
      <x:c r="B36" s="23" t="str"/>
      <x:c r="C36" s="23" t="str">
        <x:v>Calendar</x:v>
      </x:c>
      <x:c r="D36" s="23" t="str">
        <x:v>OverlapWarning</x:v>
      </x:c>
      <x:c r="E36" s="23" t="str">
        <x:v>Visible intervals overlap</x:v>
      </x:c>
      <x:c r="F36" s="23" t="str">
        <x:v>Nonblocking warning + scope caveat</x:v>
      </x:c>
      <x:c r="G36" s="23" t="str">
        <x:v>Proceed; adjust; inspect</x:v>
      </x:c>
      <x:c r="H36" s="23" t="str">
        <x:v>В это время уже есть другие элементы.</x:v>
      </x:c>
      <x:c r="I36" s="23" t="str">
        <x:v>User choice</x:v>
      </x:c>
      <x:c r="J36" s="23" t="str">
        <x:v>Warning</x:v>
      </x:c>
      <x:c r="K36" s="23" t="str">
        <x:v>SemanticStatus; ErrorMessage</x:v>
      </x:c>
      <x:c r="L36" s="23" t="str">
        <x:v>State frame/component variant + trigger/action/recovery walkthrough + long RU message + 200% scaling</x:v>
      </x:c>
      <x:c r="M36" s="23" t="str">
        <x:v>UIA name/role/state; live announcement where appropriate; deterministic focus; non-color semantics</x:v>
      </x:c>
      <x:c r="N36" s="23" t="str">
        <x:v>Stage 3 State Matrix Final 3.5</x:v>
      </x:c>
      <x:c r="O36" s="23" t="str">
        <x:v>State contract ready</x:v>
      </x:c>
      <x:c r="P36" s="26" t="str">
        <x:v>Pending VIS-001</x:v>
      </x:c>
    </x:row>
    <x:row r="37">
      <x:c r="A37" s="73" t="str">
        <x:v>STC-033</x:v>
      </x:c>
      <x:c r="B37" s="23" t="str"/>
      <x:c r="C37" s="23" t="str">
        <x:v>Inbox conversion</x:v>
      </x:c>
      <x:c r="D37" s="23" t="str">
        <x:v>TargetForbidden</x:v>
      </x:c>
      <x:c r="E37" s="23" t="str">
        <x:v>Target scope lost</x:v>
      </x:c>
      <x:c r="F37" s="23" t="str">
        <x:v>Keep InboxItem unchanged; clear target</x:v>
      </x:c>
      <x:c r="G37" s="23" t="str">
        <x:v>Choose another</x:v>
      </x:c>
      <x:c r="H37" s="23" t="str">
        <x:v>Нет доступа к выбранному проекту.</x:v>
      </x:c>
      <x:c r="I37" s="23" t="str">
        <x:v>Refresh picker</x:v>
      </x:c>
      <x:c r="J37" s="23" t="str">
        <x:v>FORBIDDEN</x:v>
      </x:c>
      <x:c r="K37" s="23" t="str">
        <x:v>PermissionState; RedactionMarker; InspectorPanel</x:v>
      </x:c>
      <x:c r="L37" s="23" t="str">
        <x:v>State frame/component variant + trigger/action/recovery walkthrough + long RU message + 200% scaling</x:v>
      </x:c>
      <x:c r="M37" s="23" t="str">
        <x:v>UIA name/role/state; live announcement where appropriate; deterministic focus; non-color semantics</x:v>
      </x:c>
      <x:c r="N37" s="23" t="str">
        <x:v>Stage 3 State Matrix Final 3.5</x:v>
      </x:c>
      <x:c r="O37" s="23" t="str">
        <x:v>State contract ready</x:v>
      </x:c>
      <x:c r="P37" s="26" t="str">
        <x:v>Pending VIS-001</x:v>
      </x:c>
    </x:row>
    <x:row r="38">
      <x:c r="A38" s="73" t="str">
        <x:v>STC-034</x:v>
      </x:c>
      <x:c r="B38" s="23" t="str"/>
      <x:c r="C38" s="23" t="str">
        <x:v>File open</x:v>
      </x:c>
      <x:c r="D38" s="23" t="str">
        <x:v>NoLocation</x:v>
      </x:c>
      <x:c r="E38" s="23" t="str">
        <x:v>No authorized/applicable location</x:v>
      </x:c>
      <x:c r="F38" s="23" t="str">
        <x:v>Do not invoke Shell; recovery</x:v>
      </x:c>
      <x:c r="G38" s="23" t="str">
        <x:v>Add/relink; owner</x:v>
      </x:c>
      <x:c r="H38" s="23" t="str">
        <x:v>Нет подходящего пути для этого устройства.</x:v>
      </x:c>
      <x:c r="I38" s="23" t="str">
        <x:v>Add/choose location</x:v>
      </x:c>
      <x:c r="J38" s="23" t="str">
        <x:v>FILE_NO_LOCATION</x:v>
      </x:c>
      <x:c r="K38" s="23" t="str">
        <x:v>FileLocationView; ErrorMessage; DialogShell</x:v>
      </x:c>
      <x:c r="L38" s="23" t="str">
        <x:v>State frame/component variant + trigger/action/recovery walkthrough + long RU message + 200% scaling</x:v>
      </x:c>
      <x:c r="M38" s="23" t="str">
        <x:v>UIA name/role/state; live announcement where appropriate; deterministic focus; non-color semantics</x:v>
      </x:c>
      <x:c r="N38" s="23" t="str">
        <x:v>Stage 3 State Matrix Final 3.5</x:v>
      </x:c>
      <x:c r="O38" s="23" t="str">
        <x:v>State contract ready</x:v>
      </x:c>
      <x:c r="P38" s="26" t="str">
        <x:v>Pending VIS-001</x:v>
      </x:c>
    </x:row>
    <x:row r="39">
      <x:c r="A39" s="73" t="str">
        <x:v>STC-035</x:v>
      </x:c>
      <x:c r="B39" s="23" t="str"/>
      <x:c r="C39" s="23" t="str">
        <x:v>File open</x:v>
      </x:c>
      <x:c r="D39" s="23" t="str">
        <x:v>NotFound</x:v>
      </x:c>
      <x:c r="E39" s="23" t="str">
        <x:v>OS path missing</x:v>
      </x:c>
      <x:c r="F39" s="23" t="str">
        <x:v>Categorized dialog</x:v>
      </x:c>
      <x:c r="G39" s="23" t="str">
        <x:v>Retry; alternative; relink</x:v>
      </x:c>
      <x:c r="H39" s="23" t="str">
        <x:v>Файл не найден по выбранному пути.</x:v>
      </x:c>
      <x:c r="I39" s="23" t="str">
        <x:v>Relink/add path</x:v>
      </x:c>
      <x:c r="J39" s="23" t="str">
        <x:v>FILE_NOT_FOUND</x:v>
      </x:c>
      <x:c r="K39" s="23" t="str">
        <x:v>FileLocationView; ErrorMessage; DialogShell</x:v>
      </x:c>
      <x:c r="L39" s="23" t="str">
        <x:v>State frame/component variant + trigger/action/recovery walkthrough + long RU message + 200% scaling</x:v>
      </x:c>
      <x:c r="M39" s="23" t="str">
        <x:v>UIA name/role/state; live announcement where appropriate; deterministic focus; non-color semantics</x:v>
      </x:c>
      <x:c r="N39" s="23" t="str">
        <x:v>Stage 3 State Matrix Final 3.5</x:v>
      </x:c>
      <x:c r="O39" s="23" t="str">
        <x:v>State contract ready</x:v>
      </x:c>
      <x:c r="P39" s="26" t="str">
        <x:v>Pending VIS-001</x:v>
      </x:c>
    </x:row>
    <x:row r="40">
      <x:c r="A40" s="73" t="str">
        <x:v>STC-036</x:v>
      </x:c>
      <x:c r="B40" s="23" t="str"/>
      <x:c r="C40" s="23" t="str">
        <x:v>File open</x:v>
      </x:c>
      <x:c r="D40" s="23" t="str">
        <x:v>AccessDenied</x:v>
      </x:c>
      <x:c r="E40" s="23" t="str">
        <x:v>OS/SMB ACL deny</x:v>
      </x:c>
      <x:c r="F40" s="23" t="str">
        <x:v>No ACL bypass UI</x:v>
      </x:c>
      <x:c r="G40" s="23" t="str">
        <x:v>Alternative; contact owner</x:v>
      </x:c>
      <x:c r="H40" s="23" t="str">
        <x:v>Windows не разрешила открыть этот путь.</x:v>
      </x:c>
      <x:c r="I40" s="23" t="str">
        <x:v>External ACL fix</x:v>
      </x:c>
      <x:c r="J40" s="23" t="str">
        <x:v>FILE_ACCESS_DENIED</x:v>
      </x:c>
      <x:c r="K40" s="23" t="str">
        <x:v>FileLocationView; ErrorMessage; DialogShell</x:v>
      </x:c>
      <x:c r="L40" s="23" t="str">
        <x:v>State frame/component variant + trigger/action/recovery walkthrough + long RU message + 200% scaling</x:v>
      </x:c>
      <x:c r="M40" s="23" t="str">
        <x:v>UIA name/role/state; live announcement where appropriate; deterministic focus; non-color semantics</x:v>
      </x:c>
      <x:c r="N40" s="23" t="str">
        <x:v>Stage 3 State Matrix Final 3.5</x:v>
      </x:c>
      <x:c r="O40" s="23" t="str">
        <x:v>State contract ready</x:v>
      </x:c>
      <x:c r="P40" s="26" t="str">
        <x:v>Pending VIS-001</x:v>
      </x:c>
    </x:row>
    <x:row r="41">
      <x:c r="A41" s="73" t="str">
        <x:v>STC-037</x:v>
      </x:c>
      <x:c r="B41" s="23" t="str"/>
      <x:c r="C41" s="23" t="str">
        <x:v>File open</x:v>
      </x:c>
      <x:c r="D41" s="23" t="str">
        <x:v>NetworkUnavailable</x:v>
      </x:c>
      <x:c r="E41" s="23" t="str">
        <x:v>DNS/SMB/timeout</x:v>
      </x:c>
      <x:c r="F41" s="23" t="str">
        <x:v>Keep record; show check time</x:v>
      </x:c>
      <x:c r="G41" s="23" t="str">
        <x:v>Retry; alternative</x:v>
      </x:c>
      <x:c r="H41" s="23" t="str">
        <x:v>Сетевой ресурс временно недоступен.</x:v>
      </x:c>
      <x:c r="I41" s="23" t="str">
        <x:v>Network recovers</x:v>
      </x:c>
      <x:c r="J41" s="23" t="str">
        <x:v>NETWORK_RESOURCE_UNAVAILABLE</x:v>
      </x:c>
      <x:c r="K41" s="23" t="str">
        <x:v>FileLocationView; ErrorMessage; DialogShell</x:v>
      </x:c>
      <x:c r="L41" s="23" t="str">
        <x:v>State frame/component variant + trigger/action/recovery walkthrough + long RU message + 200% scaling</x:v>
      </x:c>
      <x:c r="M41" s="23" t="str">
        <x:v>UIA name/role/state; live announcement where appropriate; deterministic focus; non-color semantics</x:v>
      </x:c>
      <x:c r="N41" s="23" t="str">
        <x:v>Stage 3 State Matrix Final 3.5</x:v>
      </x:c>
      <x:c r="O41" s="23" t="str">
        <x:v>State contract ready</x:v>
      </x:c>
      <x:c r="P41" s="26" t="str">
        <x:v>Pending VIS-001</x:v>
      </x:c>
    </x:row>
    <x:row r="42">
      <x:c r="A42" s="73" t="str">
        <x:v>STC-038</x:v>
      </x:c>
      <x:c r="B42" s="23" t="str"/>
      <x:c r="C42" s="23" t="str">
        <x:v>File location</x:v>
      </x:c>
      <x:c r="D42" s="23" t="str">
        <x:v>UnsafePath</x:v>
      </x:c>
      <x:c r="E42" s="23" t="str">
        <x:v>Path/root/scheme rejected</x:v>
      </x:c>
      <x:c r="F42" s="23" t="str">
        <x:v>Preserve old location; highlight new</x:v>
      </x:c>
      <x:c r="G42" s="23" t="str">
        <x:v>Choose allowed path</x:v>
      </x:c>
      <x:c r="H42" s="23" t="str">
        <x:v>Этот путь запрещён политикой безопасности.</x:v>
      </x:c>
      <x:c r="I42" s="23" t="str">
        <x:v>Native picker</x:v>
      </x:c>
      <x:c r="J42" s="23" t="str">
        <x:v>UNSAFE_PATH</x:v>
      </x:c>
      <x:c r="K42" s="23" t="str">
        <x:v>ValidationMessage; FormLayout; FileLocationView; ErrorMessage; DialogShell</x:v>
      </x:c>
      <x:c r="L42" s="23" t="str">
        <x:v>State frame/component variant + trigger/action/recovery walkthrough + long RU message + 200% scaling</x:v>
      </x:c>
      <x:c r="M42" s="23" t="str">
        <x:v>UIA name/role/state; live announcement where appropriate; deterministic focus; non-color semantics</x:v>
      </x:c>
      <x:c r="N42" s="23" t="str">
        <x:v>Stage 3 State Matrix Final 3.5</x:v>
      </x:c>
      <x:c r="O42" s="23" t="str">
        <x:v>State contract ready</x:v>
      </x:c>
      <x:c r="P42" s="26" t="str">
        <x:v>Pending VIS-001</x:v>
      </x:c>
    </x:row>
    <x:row r="43">
      <x:c r="A43" s="73" t="str">
        <x:v>STC-039</x:v>
      </x:c>
      <x:c r="B43" s="23" t="str"/>
      <x:c r="C43" s="23" t="str">
        <x:v>File open</x:v>
      </x:c>
      <x:c r="D43" s="23" t="str">
        <x:v>UnsafeType</x:v>
      </x:c>
      <x:c r="E43" s="23" t="str">
        <x:v>File type blocked</x:v>
      </x:c>
      <x:c r="F43" s="23" t="str">
        <x:v>Never launch</x:v>
      </x:c>
      <x:c r="G43" s="23" t="str">
        <x:v>Close; contact admin</x:v>
      </x:c>
      <x:c r="H43" s="23" t="str">
        <x:v>Этот тип файла нельзя открыть из приложения.</x:v>
      </x:c>
      <x:c r="I43" s="23" t="str">
        <x:v>Policy change</x:v>
      </x:c>
      <x:c r="J43" s="23" t="str">
        <x:v>UNSAFE_FILE_TYPE</x:v>
      </x:c>
      <x:c r="K43" s="23" t="str">
        <x:v>ValidationMessage; FormLayout; FileLocationView; ErrorMessage; DialogShell</x:v>
      </x:c>
      <x:c r="L43" s="23" t="str">
        <x:v>State frame/component variant + trigger/action/recovery walkthrough + long RU message + 200% scaling</x:v>
      </x:c>
      <x:c r="M43" s="23" t="str">
        <x:v>UIA name/role/state; live announcement where appropriate; deterministic focus; non-color semantics</x:v>
      </x:c>
      <x:c r="N43" s="23" t="str">
        <x:v>Stage 3 State Matrix Final 3.5</x:v>
      </x:c>
      <x:c r="O43" s="23" t="str">
        <x:v>State contract ready</x:v>
      </x:c>
      <x:c r="P43" s="26" t="str">
        <x:v>Pending VIS-001</x:v>
      </x:c>
    </x:row>
    <x:row r="44">
      <x:c r="A44" s="73" t="str">
        <x:v>STC-040</x:v>
      </x:c>
      <x:c r="B44" s="23" t="str"/>
      <x:c r="C44" s="23" t="str">
        <x:v>File location</x:v>
      </x:c>
      <x:c r="D44" s="23" t="str">
        <x:v>OtherDeviceLocal</x:v>
      </x:c>
      <x:c r="E44" s="23" t="str">
        <x:v>Path scoped to another device</x:v>
      </x:c>
      <x:c r="F44" s="23" t="str">
        <x:v>Show owner/device; redact path</x:v>
      </x:c>
      <x:c r="G44" s="23" t="str">
        <x:v>Alternative; add shared path</x:v>
      </x:c>
      <x:c r="H44" s="23" t="str">
        <x:v>Файл доступен только на устройстве «{device}».</x:v>
      </x:c>
      <x:c r="I44" s="23" t="str">
        <x:v>Add location</x:v>
      </x:c>
      <x:c r="J44" s="23" t="str">
        <x:v>FILE_NO_LOCATION</x:v>
      </x:c>
      <x:c r="K44" s="23" t="str">
        <x:v>PermissionState; RedactionMarker; InspectorPanel; FileLocationView; ErrorMessage; DialogShell</x:v>
      </x:c>
      <x:c r="L44" s="23" t="str">
        <x:v>State frame/component variant + trigger/action/recovery walkthrough + long RU message + 200% scaling</x:v>
      </x:c>
      <x:c r="M44" s="23" t="str">
        <x:v>UIA name/role/state; live announcement where appropriate; deterministic focus; non-color semantics</x:v>
      </x:c>
      <x:c r="N44" s="23" t="str">
        <x:v>Stage 3 State Matrix Final 3.5</x:v>
      </x:c>
      <x:c r="O44" s="23" t="str">
        <x:v>State contract ready</x:v>
      </x:c>
      <x:c r="P44" s="26" t="str">
        <x:v>Pending VIS-001</x:v>
      </x:c>
    </x:row>
    <x:row r="45">
      <x:c r="A45" s="73" t="str">
        <x:v>STC-041</x:v>
      </x:c>
      <x:c r="B45" s="23" t="str"/>
      <x:c r="C45" s="23" t="str">
        <x:v>Project members</x:v>
      </x:c>
      <x:c r="D45" s="23" t="str">
        <x:v>OwnerInvariant</x:v>
      </x:c>
      <x:c r="E45" s="23" t="str">
        <x:v>Operation leaves no owner</x:v>
      </x:c>
      <x:c r="F45" s="23" t="str">
        <x:v>Block save; required sequence</x:v>
      </x:c>
      <x:c r="G45" s="23" t="str">
        <x:v>Transfer owner first</x:v>
      </x:c>
      <x:c r="H45" s="23" t="str">
        <x:v>У проекта должен оставаться владелец.</x:v>
      </x:c>
      <x:c r="I45" s="23" t="str">
        <x:v>Transfer ownership</x:v>
      </x:c>
      <x:c r="J45" s="23" t="str">
        <x:v>INVALID_STATE_TRANSITION</x:v>
      </x:c>
      <x:c r="K45" s="23" t="str">
        <x:v>SemanticStatus; ErrorMessage</x:v>
      </x:c>
      <x:c r="L45" s="23" t="str">
        <x:v>State frame/component variant + trigger/action/recovery walkthrough + long RU message + 200% scaling</x:v>
      </x:c>
      <x:c r="M45" s="23" t="str">
        <x:v>UIA name/role/state; live announcement where appropriate; deterministic focus; non-color semantics</x:v>
      </x:c>
      <x:c r="N45" s="23" t="str">
        <x:v>Stage 3 State Matrix Final 3.5</x:v>
      </x:c>
      <x:c r="O45" s="23" t="str">
        <x:v>State contract ready</x:v>
      </x:c>
      <x:c r="P45" s="26" t="str">
        <x:v>Pending VIS-001</x:v>
      </x:c>
    </x:row>
    <x:row r="46">
      <x:c r="A46" s="73" t="str">
        <x:v>STC-042</x:v>
      </x:c>
      <x:c r="B46" s="23" t="str"/>
      <x:c r="C46" s="23" t="str">
        <x:v>Project</x:v>
      </x:c>
      <x:c r="D46" s="23" t="str">
        <x:v>Completed</x:v>
      </x:c>
      <x:c r="E46" s="23" t="str">
        <x:v>Business status completed</x:v>
      </x:c>
      <x:c r="F46" s="23" t="str">
        <x:v>Do not label archived; read-mostly by policy</x:v>
      </x:c>
      <x:c r="G46" s="23" t="str">
        <x:v>Reopen/archive</x:v>
      </x:c>
      <x:c r="H46" s="23" t="str">
        <x:v>Проект завершён.</x:v>
      </x:c>
      <x:c r="I46" s="23" t="str">
        <x:v>Reopen/archive</x:v>
      </x:c>
      <x:c r="J46" s="23" t="str">
        <x:v>—</x:v>
      </x:c>
      <x:c r="K46" s="23" t="str">
        <x:v>LifecycleBanner; ReadOnlyBanner</x:v>
      </x:c>
      <x:c r="L46" s="23" t="str">
        <x:v>State frame/component variant + trigger/action/recovery walkthrough + long RU message + 200% scaling</x:v>
      </x:c>
      <x:c r="M46" s="23" t="str">
        <x:v>UIA name/role/state; live announcement where appropriate; deterministic focus; non-color semantics</x:v>
      </x:c>
      <x:c r="N46" s="23" t="str">
        <x:v>Stage 3 State Matrix Final 3.5</x:v>
      </x:c>
      <x:c r="O46" s="23" t="str">
        <x:v>State contract ready</x:v>
      </x:c>
      <x:c r="P46" s="26" t="str">
        <x:v>Pending VIS-001</x:v>
      </x:c>
    </x:row>
    <x:row r="47">
      <x:c r="A47" s="73" t="str">
        <x:v>STC-043</x:v>
      </x:c>
      <x:c r="B47" s="23" t="str"/>
      <x:c r="C47" s="23" t="str">
        <x:v>Restore</x:v>
      </x:c>
      <x:c r="D47" s="23" t="str">
        <x:v>NameConflict</x:v>
      </x:c>
      <x:c r="E47" s="23" t="str">
        <x:v>Unique active name/link conflict</x:v>
      </x:c>
      <x:c r="F47" s="23" t="str">
        <x:v>Show existing + rename/parent</x:v>
      </x:c>
      <x:c r="G47" s="23" t="str">
        <x:v>Rename; parent; cancel</x:v>
      </x:c>
      <x:c r="H47" s="23" t="str">
        <x:v>Восстановление конфликтует с существующим объектом.</x:v>
      </x:c>
      <x:c r="I47" s="23" t="str">
        <x:v>Resolve</x:v>
      </x:c>
      <x:c r="J47" s="23" t="str">
        <x:v>DUPLICATE_RESOURCE</x:v>
      </x:c>
      <x:c r="K47" s="23" t="str">
        <x:v>ConflictNotice; DialogShell</x:v>
      </x:c>
      <x:c r="L47" s="23" t="str">
        <x:v>State frame/component variant + trigger/action/recovery walkthrough + long RU message + 200% scaling</x:v>
      </x:c>
      <x:c r="M47" s="23" t="str">
        <x:v>UIA name/role/state; live announcement where appropriate; deterministic focus; non-color semantics</x:v>
      </x:c>
      <x:c r="N47" s="23" t="str">
        <x:v>Stage 3 State Matrix Final 3.5</x:v>
      </x:c>
      <x:c r="O47" s="23" t="str">
        <x:v>State contract ready</x:v>
      </x:c>
      <x:c r="P47" s="26" t="str">
        <x:v>Pending VIS-001</x:v>
      </x:c>
    </x:row>
    <x:row r="48">
      <x:c r="A48" s="73" t="str">
        <x:v>STC-044</x:v>
      </x:c>
      <x:c r="B48" s="23" t="str"/>
      <x:c r="C48" s="23" t="str">
        <x:v>Restore</x:v>
      </x:c>
      <x:c r="D48" s="23" t="str">
        <x:v>ParentUnavailable</x:v>
      </x:c>
      <x:c r="E48" s="23" t="str">
        <x:v>Original parent hidden/purged</x:v>
      </x:c>
      <x:c r="F48" s="23" t="str">
        <x:v>Offer allowed parent; no silent root move</x:v>
      </x:c>
      <x:c r="G48" s="23" t="str">
        <x:v>Choose parent</x:v>
      </x:c>
      <x:c r="H48" s="23" t="str">
        <x:v>Исходная папка или проект недоступны.</x:v>
      </x:c>
      <x:c r="I48" s="23" t="str">
        <x:v>Select parent</x:v>
      </x:c>
      <x:c r="J48" s="23" t="str">
        <x:v>OBJECT_NOT_VISIBLE</x:v>
      </x:c>
      <x:c r="K48" s="23" t="str">
        <x:v>SemanticStatus; ErrorMessage</x:v>
      </x:c>
      <x:c r="L48" s="23" t="str">
        <x:v>State frame/component variant + trigger/action/recovery walkthrough + long RU message + 200% scaling</x:v>
      </x:c>
      <x:c r="M48" s="23" t="str">
        <x:v>UIA name/role/state; live announcement where appropriate; deterministic focus; non-color semantics</x:v>
      </x:c>
      <x:c r="N48" s="23" t="str">
        <x:v>Stage 3 State Matrix Final 3.5</x:v>
      </x:c>
      <x:c r="O48" s="23" t="str">
        <x:v>State contract ready</x:v>
      </x:c>
      <x:c r="P48" s="26" t="str">
        <x:v>Pending VIS-001</x:v>
      </x:c>
    </x:row>
    <x:row r="49">
      <x:c r="A49" s="73" t="str">
        <x:v>STC-045</x:v>
      </x:c>
      <x:c r="B49" s="23" t="str"/>
      <x:c r="C49" s="23" t="str">
        <x:v>Trash purge</x:v>
      </x:c>
      <x:c r="D49" s="23" t="str">
        <x:v>RetentionBlocked</x:v>
      </x:c>
      <x:c r="E49" s="23" t="str">
        <x:v>Before purgeAfter/legal hold</x:v>
      </x:c>
      <x:c r="F49" s="23" t="str">
        <x:v>Disable purge with reason/date</x:v>
      </x:c>
      <x:c r="G49" s="23" t="str">
        <x:v>Wait; restore</x:v>
      </x:c>
      <x:c r="H49" s="23" t="str">
        <x:v>Окончательное удаление пока недоступно.</x:v>
      </x:c>
      <x:c r="I49" s="23" t="str">
        <x:v>Wait/release hold</x:v>
      </x:c>
      <x:c r="J49" s="23" t="str">
        <x:v>INVALID_STATE_TRANSITION</x:v>
      </x:c>
      <x:c r="K49" s="23" t="str">
        <x:v>LifecycleBanner; ReadOnlyBanner</x:v>
      </x:c>
      <x:c r="L49" s="23" t="str">
        <x:v>State frame/component variant + trigger/action/recovery walkthrough + long RU message + 200% scaling</x:v>
      </x:c>
      <x:c r="M49" s="23" t="str">
        <x:v>UIA name/role/state; live announcement where appropriate; deterministic focus; non-color semantics</x:v>
      </x:c>
      <x:c r="N49" s="23" t="str">
        <x:v>Stage 3 State Matrix Final 3.5</x:v>
      </x:c>
      <x:c r="O49" s="23" t="str">
        <x:v>State contract ready</x:v>
      </x:c>
      <x:c r="P49" s="26" t="str">
        <x:v>Pending VIS-001</x:v>
      </x:c>
    </x:row>
    <x:row r="50">
      <x:c r="A50" s="73" t="str">
        <x:v>STC-046</x:v>
      </x:c>
      <x:c r="B50" s="23" t="str"/>
      <x:c r="C50" s="23" t="str">
        <x:v>Notification action</x:v>
      </x:c>
      <x:c r="D50" s="23" t="str">
        <x:v>TargetChanged</x:v>
      </x:c>
      <x:c r="E50" s="23" t="str">
        <x:v>Version/state changed</x:v>
      </x:c>
      <x:c r="F50" s="23" t="str">
        <x:v>No success claim; show current state</x:v>
      </x:c>
      <x:c r="G50" s="23" t="str">
        <x:v>Open; retry allowed</x:v>
      </x:c>
      <x:c r="H50" s="23" t="str">
        <x:v>Объект уже изменён.</x:v>
      </x:c>
      <x:c r="I50" s="23" t="str">
        <x:v>Refresh</x:v>
      </x:c>
      <x:c r="J50" s="23" t="str">
        <x:v>VERSION_CONFLICT / INVALID_STATE_TRANSITION</x:v>
      </x:c>
      <x:c r="K50" s="23" t="str">
        <x:v>ConflictNotice; DialogShell; NotificationItem</x:v>
      </x:c>
      <x:c r="L50" s="23" t="str">
        <x:v>State frame/component variant + trigger/action/recovery walkthrough + long RU message + 200% scaling</x:v>
      </x:c>
      <x:c r="M50" s="23" t="str">
        <x:v>UIA name/role/state; live announcement where appropriate; deterministic focus; non-color semantics</x:v>
      </x:c>
      <x:c r="N50" s="23" t="str">
        <x:v>Stage 3 State Matrix Final 3.5</x:v>
      </x:c>
      <x:c r="O50" s="23" t="str">
        <x:v>State contract ready</x:v>
      </x:c>
      <x:c r="P50" s="26" t="str">
        <x:v>Pending VIS-001</x:v>
      </x:c>
    </x:row>
    <x:row r="51">
      <x:c r="A51" s="73" t="str">
        <x:v>STC-047</x:v>
      </x:c>
      <x:c r="B51" s="23" t="str"/>
      <x:c r="C51" s="23" t="str">
        <x:v>Notification action</x:v>
      </x:c>
      <x:c r="D51" s="23" t="str">
        <x:v>TargetForbidden</x:v>
      </x:c>
      <x:c r="E51" s="23" t="str">
        <x:v>Permission revoked</x:v>
      </x:c>
      <x:c r="F51" s="23" t="str">
        <x:v>No target details</x:v>
      </x:c>
      <x:c r="G51" s="23" t="str">
        <x:v>Close</x:v>
      </x:c>
      <x:c r="H51" s="23" t="str">
        <x:v>Действие больше недоступно.</x:v>
      </x:c>
      <x:c r="I51" s="23" t="str">
        <x:v>None</x:v>
      </x:c>
      <x:c r="J51" s="23" t="str">
        <x:v>FORBIDDEN</x:v>
      </x:c>
      <x:c r="K51" s="23" t="str">
        <x:v>PermissionState; RedactionMarker; InspectorPanel; NotificationItem</x:v>
      </x:c>
      <x:c r="L51" s="23" t="str">
        <x:v>State frame/component variant + trigger/action/recovery walkthrough + long RU message + 200% scaling</x:v>
      </x:c>
      <x:c r="M51" s="23" t="str">
        <x:v>UIA name/role/state; live announcement where appropriate; deterministic focus; non-color semantics</x:v>
      </x:c>
      <x:c r="N51" s="23" t="str">
        <x:v>Stage 3 State Matrix Final 3.5</x:v>
      </x:c>
      <x:c r="O51" s="23" t="str">
        <x:v>State contract ready</x:v>
      </x:c>
      <x:c r="P51" s="26" t="str">
        <x:v>Pending VIS-001</x:v>
      </x:c>
    </x:row>
    <x:row r="52">
      <x:c r="A52" s="73" t="str">
        <x:v>STC-048</x:v>
      </x:c>
      <x:c r="B52" s="23" t="str">
        <x:v>STATE-019</x:v>
      </x:c>
      <x:c r="C52" s="23" t="str">
        <x:v>Admin job</x:v>
      </x:c>
      <x:c r="D52" s="23" t="str">
        <x:v>BackgroundOperation</x:v>
      </x:c>
      <x:c r="E52" s="23" t="str">
        <x:v>202 accepted</x:v>
      </x:c>
      <x:c r="F52" s="23" t="str">
        <x:v>Immutable request + status/audit link</x:v>
      </x:c>
      <x:c r="G52" s="23" t="str">
        <x:v>Leave; refresh</x:v>
      </x:c>
      <x:c r="H52" s="23" t="str">
        <x:v>Операция выполняется в фоне.</x:v>
      </x:c>
      <x:c r="I52" s="23" t="str">
        <x:v>Poll/events</x:v>
      </x:c>
      <x:c r="J52" s="23" t="str">
        <x:v>202</x:v>
      </x:c>
      <x:c r="K52" s="23" t="str">
        <x:v>LoadingState; ProgressIndicator</x:v>
      </x:c>
      <x:c r="L52" s="23" t="str">
        <x:v>State frame/component variant + trigger/action/recovery walkthrough + long RU message + 200% scaling</x:v>
      </x:c>
      <x:c r="M52" s="23" t="str">
        <x:v>UIA name/role/state; live announcement where appropriate; deterministic focus; non-color semantics</x:v>
      </x:c>
      <x:c r="N52" s="23" t="str">
        <x:v>Stage 3 State Matrix Final 3.5</x:v>
      </x:c>
      <x:c r="O52" s="23" t="str">
        <x:v>State contract ready</x:v>
      </x:c>
      <x:c r="P52" s="26" t="str">
        <x:v>Pending VIS-001</x:v>
      </x:c>
    </x:row>
    <x:row r="53">
      <x:c r="A53" s="73" t="str">
        <x:v>STC-049</x:v>
      </x:c>
      <x:c r="B53" s="23" t="str"/>
      <x:c r="C53" s="23" t="str">
        <x:v>Admin backup</x:v>
      </x:c>
      <x:c r="D53" s="23" t="str">
        <x:v>BackupFailed</x:v>
      </x:c>
      <x:c r="E53" s="23" t="str">
        <x:v>Worker failure</x:v>
      </x:c>
      <x:c r="F53" s="23" t="str">
        <x:v>Stage/safe error/last success</x:v>
      </x:c>
      <x:c r="G53" s="23" t="str">
        <x:v>Retry; diagnostics</x:v>
      </x:c>
      <x:c r="H53" s="23" t="str">
        <x:v>Резервное копирование завершилось с ошибкой.</x:v>
      </x:c>
      <x:c r="I53" s="23" t="str">
        <x:v>Correct dependency</x:v>
      </x:c>
      <x:c r="J53" s="23" t="str">
        <x:v>DEPENDENCY_UNAVAILABLE</x:v>
      </x:c>
      <x:c r="K53" s="23" t="str">
        <x:v>ErrorMessage; RetryAction</x:v>
      </x:c>
      <x:c r="L53" s="23" t="str">
        <x:v>State frame/component variant + trigger/action/recovery walkthrough + long RU message + 200% scaling</x:v>
      </x:c>
      <x:c r="M53" s="23" t="str">
        <x:v>UIA name/role/state; live announcement where appropriate; deterministic focus; non-color semantics</x:v>
      </x:c>
      <x:c r="N53" s="23" t="str">
        <x:v>Stage 3 State Matrix Final 3.5</x:v>
      </x:c>
      <x:c r="O53" s="23" t="str">
        <x:v>State contract ready</x:v>
      </x:c>
      <x:c r="P53" s="26" t="str">
        <x:v>Pending VIS-001</x:v>
      </x:c>
    </x:row>
    <x:row r="54">
      <x:c r="A54" s="73" t="str">
        <x:v>STC-050</x:v>
      </x:c>
      <x:c r="B54" s="23" t="str"/>
      <x:c r="C54" s="23" t="str">
        <x:v>Admin health</x:v>
      </x:c>
      <x:c r="D54" s="23" t="str">
        <x:v>DatabaseUnavailable</x:v>
      </x:c>
      <x:c r="E54" s="23" t="str">
        <x:v>Readiness false</x:v>
      </x:c>
      <x:c r="F54" s="23" t="str">
        <x:v>Critical global write block</x:v>
      </x:c>
      <x:c r="G54" s="23" t="str">
        <x:v>Diagnostics</x:v>
      </x:c>
      <x:c r="H54" s="23" t="str">
        <x:v>База данных недоступна.</x:v>
      </x:c>
      <x:c r="I54" s="23" t="str">
        <x:v>Infrastructure recovery</x:v>
      </x:c>
      <x:c r="J54" s="23" t="str">
        <x:v>DATABASE_UNAVAILABLE</x:v>
      </x:c>
      <x:c r="K54" s="23" t="str">
        <x:v>ConnectivityBanner; ConnectionStatus; ReadOnlyBanner</x:v>
      </x:c>
      <x:c r="L54" s="23" t="str">
        <x:v>State frame/component variant + trigger/action/recovery walkthrough + long RU message + 200% scaling</x:v>
      </x:c>
      <x:c r="M54" s="23" t="str">
        <x:v>UIA name/role/state; live announcement where appropriate; deterministic focus; non-color semantics</x:v>
      </x:c>
      <x:c r="N54" s="23" t="str">
        <x:v>Stage 3 State Matrix Final 3.5</x:v>
      </x:c>
      <x:c r="O54" s="23" t="str">
        <x:v>State contract ready</x:v>
      </x:c>
      <x:c r="P54" s="26" t="str">
        <x:v>Pending VIS-001</x:v>
      </x:c>
    </x:row>
    <x:row r="55">
      <x:c r="A55" s="73" t="str">
        <x:v>STC-051</x:v>
      </x:c>
      <x:c r="B55" s="23" t="str"/>
      <x:c r="C55" s="23" t="str">
        <x:v>Any command</x:v>
      </x:c>
      <x:c r="D55" s="23" t="str">
        <x:v>RateLimited</x:v>
      </x:c>
      <x:c r="E55" s="23" t="str">
        <x:v>429 Retry-After</x:v>
      </x:c>
      <x:c r="F55" s="23" t="str">
        <x:v>Keep draft/selection</x:v>
      </x:c>
      <x:c r="G55" s="23" t="str">
        <x:v>Retry later; cancel</x:v>
      </x:c>
      <x:c r="H55" s="23" t="str">
        <x:v>Слишком много запросов. Повторите позже.</x:v>
      </x:c>
      <x:c r="I55" s="23" t="str">
        <x:v>Retry safe reads only</x:v>
      </x:c>
      <x:c r="J55" s="23" t="str">
        <x:v>RATE_LIMITED</x:v>
      </x:c>
      <x:c r="K55" s="23" t="str">
        <x:v>ErrorMessage; RetryAction</x:v>
      </x:c>
      <x:c r="L55" s="23" t="str">
        <x:v>State frame/component variant + trigger/action/recovery walkthrough + long RU message + 200% scaling</x:v>
      </x:c>
      <x:c r="M55" s="23" t="str">
        <x:v>UIA name/role/state; live announcement where appropriate; deterministic focus; non-color semantics</x:v>
      </x:c>
      <x:c r="N55" s="23" t="str">
        <x:v>Stage 3 State Matrix Final 3.5</x:v>
      </x:c>
      <x:c r="O55" s="23" t="str">
        <x:v>State contract ready</x:v>
      </x:c>
      <x:c r="P55" s="26" t="str">
        <x:v>Pending VIS-001</x:v>
      </x:c>
    </x:row>
    <x:row r="56">
      <x:c r="A56" s="73" t="str">
        <x:v>STC-052</x:v>
      </x:c>
      <x:c r="B56" s="23" t="str"/>
      <x:c r="C56" s="23" t="str">
        <x:v>Any read</x:v>
      </x:c>
      <x:c r="D56" s="23" t="str">
        <x:v>Timeout</x:v>
      </x:c>
      <x:c r="E56" s="23" t="str">
        <x:v>504</x:v>
      </x:c>
      <x:c r="F56" s="23" t="str">
        <x:v>Keep old data as stale</x:v>
      </x:c>
      <x:c r="G56" s="23" t="str">
        <x:v>Retry</x:v>
      </x:c>
      <x:c r="H56" s="23" t="str">
        <x:v>Сервер не ответил вовремя.</x:v>
      </x:c>
      <x:c r="I56" s="23" t="str">
        <x:v>Retry safe read</x:v>
      </x:c>
      <x:c r="J56" s="23" t="str">
        <x:v>TIMEOUT</x:v>
      </x:c>
      <x:c r="K56" s="23" t="str">
        <x:v>ErrorMessage; RetryAction</x:v>
      </x:c>
      <x:c r="L56" s="23" t="str">
        <x:v>State frame/component variant + trigger/action/recovery walkthrough + long RU message + 200% scaling</x:v>
      </x:c>
      <x:c r="M56" s="23" t="str">
        <x:v>UIA name/role/state; live announcement where appropriate; deterministic focus; non-color semantics</x:v>
      </x:c>
      <x:c r="N56" s="23" t="str">
        <x:v>Stage 3 State Matrix Final 3.5</x:v>
      </x:c>
      <x:c r="O56" s="23" t="str">
        <x:v>State contract ready</x:v>
      </x:c>
      <x:c r="P56" s="26" t="str">
        <x:v>Pending VIS-001</x:v>
      </x:c>
    </x:row>
    <x:row r="57">
      <x:c r="A57" s="73" t="str">
        <x:v>STC-053</x:v>
      </x:c>
      <x:c r="B57" s="23" t="str"/>
      <x:c r="C57" s="23" t="str">
        <x:v>Any command</x:v>
      </x:c>
      <x:c r="D57" s="23" t="str">
        <x:v>IdempotencyKeyReused</x:v>
      </x:c>
      <x:c r="E57" s="23" t="str">
        <x:v>Same key/different request</x:v>
      </x:c>
      <x:c r="F57" s="23" t="str">
        <x:v>No same-key retry; preserve draft</x:v>
      </x:c>
      <x:c r="G57" s="23" t="str">
        <x:v>Generate new key after user action</x:v>
      </x:c>
      <x:c r="H57" s="23" t="str">
        <x:v>Не удалось безопасно повторить запрос.</x:v>
      </x:c>
      <x:c r="I57" s="23" t="str">
        <x:v>New key</x:v>
      </x:c>
      <x:c r="J57" s="23" t="str">
        <x:v>IDEMPOTENCY_KEY_REUSED</x:v>
      </x:c>
      <x:c r="K57" s="23" t="str">
        <x:v>SemanticStatus; ErrorMessage</x:v>
      </x:c>
      <x:c r="L57" s="23" t="str">
        <x:v>State frame/component variant + trigger/action/recovery walkthrough + long RU message + 200% scaling</x:v>
      </x:c>
      <x:c r="M57" s="23" t="str">
        <x:v>UIA name/role/state; live announcement where appropriate; deterministic focus; non-color semantics</x:v>
      </x:c>
      <x:c r="N57" s="23" t="str">
        <x:v>Stage 3 State Matrix Final 3.5</x:v>
      </x:c>
      <x:c r="O57" s="23" t="str">
        <x:v>State contract ready</x:v>
      </x:c>
      <x:c r="P57" s="26" t="str">
        <x:v>Pending VIS-001</x:v>
      </x:c>
    </x:row>
    <x:row r="58">
      <x:c r="A58" s="73" t="str">
        <x:v>STC-054</x:v>
      </x:c>
      <x:c r="B58" s="23" t="str"/>
      <x:c r="C58" s="23" t="str">
        <x:v>Any surface</x:v>
      </x:c>
      <x:c r="D58" s="23" t="str">
        <x:v>InternalError</x:v>
      </x:c>
      <x:c r="E58" s="23" t="str">
        <x:v>Unhandled 500</x:v>
      </x:c>
      <x:c r="F58" s="23" t="str">
        <x:v>Sanitized text + traceId</x:v>
      </x:c>
      <x:c r="G58" s="23" t="str">
        <x:v>Retry safe; copy traceId</x:v>
      </x:c>
      <x:c r="H58" s="23" t="str">
        <x:v>Внутренняя ошибка. Код: {traceId}.</x:v>
      </x:c>
      <x:c r="I58" s="23" t="str">
        <x:v>Support/admin</x:v>
      </x:c>
      <x:c r="J58" s="23" t="str">
        <x:v>INTERNAL_ERROR</x:v>
      </x:c>
      <x:c r="K58" s="23" t="str">
        <x:v>ErrorMessage; RetryAction</x:v>
      </x:c>
      <x:c r="L58" s="23" t="str">
        <x:v>State frame/component variant + trigger/action/recovery walkthrough + long RU message + 200% scaling</x:v>
      </x:c>
      <x:c r="M58" s="23" t="str">
        <x:v>UIA name/role/state; live announcement where appropriate; deterministic focus; non-color semantics</x:v>
      </x:c>
      <x:c r="N58" s="23" t="str">
        <x:v>Stage 3 State Matrix Final 3.5</x:v>
      </x:c>
      <x:c r="O58" s="23" t="str">
        <x:v>State contract ready</x:v>
      </x:c>
      <x:c r="P58" s="26" t="str">
        <x:v>Pending VIS-001</x:v>
      </x:c>
    </x:row>
    <x:row r="59">
      <x:c r="A59" s="73" t="str">
        <x:v>STC-055</x:v>
      </x:c>
      <x:c r="B59" s="23" t="str">
        <x:v>STATE-016</x:v>
      </x:c>
      <x:c r="C59" s="23" t="str">
        <x:v>Any surface</x:v>
      </x:c>
      <x:c r="D59" s="23" t="str">
        <x:v>PartialAccess</x:v>
      </x:c>
      <x:c r="E59" s="23" t="str">
        <x:v>Fields/relations filtered</x:v>
      </x:c>
      <x:c r="F59" s="23" t="str">
        <x:v>Render available; no hidden counts</x:v>
      </x:c>
      <x:c r="G59" s="23" t="str">
        <x:v>Continue</x:v>
      </x:c>
      <x:c r="H59" s="23" t="str">
        <x:v>Часть данных недоступна по правам.</x:v>
      </x:c>
      <x:c r="I59" s="23" t="str">
        <x:v>Scope change</x:v>
      </x:c>
      <x:c r="J59" s="23" t="str">
        <x:v>Filtered response/FORBIDDEN</x:v>
      </x:c>
      <x:c r="K59" s="23" t="str">
        <x:v>PermissionState; RedactionMarker; InspectorPanel</x:v>
      </x:c>
      <x:c r="L59" s="23" t="str">
        <x:v>State frame/component variant + trigger/action/recovery walkthrough + long RU message + 200% scaling</x:v>
      </x:c>
      <x:c r="M59" s="23" t="str">
        <x:v>UIA name/role/state; live announcement where appropriate; deterministic focus; non-color semantics</x:v>
      </x:c>
      <x:c r="N59" s="23" t="str">
        <x:v>Stage 3 State Matrix Final 3.5</x:v>
      </x:c>
      <x:c r="O59" s="23" t="str">
        <x:v>State contract ready</x:v>
      </x:c>
      <x:c r="P59" s="26" t="str">
        <x:v>Pending VIS-001</x:v>
      </x:c>
    </x:row>
    <x:row r="60">
      <x:c r="A60" s="74" t="str">
        <x:v>STC-056</x:v>
      </x:c>
      <x:c r="B60" s="30" t="str"/>
      <x:c r="C60" s="30" t="str">
        <x:v>Any list</x:v>
      </x:c>
      <x:c r="D60" s="30" t="str">
        <x:v>StaleSelection</x:v>
      </x:c>
      <x:c r="E60" s="30" t="str">
        <x:v>Selected item removed/hidden</x:v>
      </x:c>
      <x:c r="F60" s="30" t="str">
        <x:v>Clear selection; neutral details</x:v>
      </x:c>
      <x:c r="G60" s="30" t="str">
        <x:v>Back; select another</x:v>
      </x:c>
      <x:c r="H60" s="30" t="str">
        <x:v>Выбранный объект больше недоступен.</x:v>
      </x:c>
      <x:c r="I60" s="30" t="str">
        <x:v>Refresh list</x:v>
      </x:c>
      <x:c r="J60" s="30" t="str">
        <x:v>OBJECT_NOT_VISIBLE</x:v>
      </x:c>
      <x:c r="K60" s="30" t="str">
        <x:v>PermissionState; RedactionMarker; InspectorPanel</x:v>
      </x:c>
      <x:c r="L60" s="30" t="str">
        <x:v>State frame/component variant + trigger/action/recovery walkthrough + long RU message + 200% scaling</x:v>
      </x:c>
      <x:c r="M60" s="30" t="str">
        <x:v>UIA name/role/state; live announcement where appropriate; deterministic focus; non-color semantics</x:v>
      </x:c>
      <x:c r="N60" s="30" t="str">
        <x:v>Stage 3 State Matrix Final 3.5</x:v>
      </x:c>
      <x:c r="O60" s="30" t="str">
        <x:v>State contract ready</x:v>
      </x:c>
      <x:c r="P60" s="33" t="str">
        <x:v>Pending VIS-001</x:v>
      </x:c>
    </x:row>
  </x:sheetData>
  <x:mergeCells>
    <x:mergeCell ref="A1:P2"/>
    <x:mergeCell ref="A3:P3"/>
  </x:mergeCells>
  <x:conditionalFormatting sqref="O5:O60">
    <x:cfRule type="containsText" dxfId="31" priority="1" operator="containsText" text="ready"/>
  </x:conditionalFormatting>
  <x:conditionalFormatting sqref="P5:P60">
    <x:cfRule type="containsText" dxfId="32" priority="2" operator="containsText" text="VIS-001"/>
  </x:conditionalFormatting>
  <x:pageMargins left="0.7" right="0.7" top="0.75" bottom="0.75" header="0.3" footer="0.3"/>
  <x:tableParts count="1">
    <x:tablePart xmlns:r="http://schemas.openxmlformats.org/officeDocument/2006/relationships" r:id="R423672a243be4fc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8" hidden="0" customWidth="1"/>
    <x:col min="5" max="5" width="26" hidden="0" customWidth="1"/>
    <x:col min="6" max="6" width="42" hidden="0" customWidth="1"/>
    <x:col min="7" max="7" width="42" hidden="0" customWidth="1"/>
    <x:col min="8" max="8" width="46" hidden="0" customWidth="1"/>
    <x:col min="9" max="9" width="44" hidden="0" customWidth="1"/>
    <x:col min="10" max="10" width="42" hidden="0" customWidth="1"/>
    <x:col min="11" max="11" width="28" hidden="0" customWidth="1"/>
    <x:col min="12" max="12" width="38" hidden="0" customWidth="1"/>
    <x:col min="13" max="13" width="40" hidden="0" customWidth="1"/>
    <x:col min="14" max="14" width="42" hidden="0" customWidth="1"/>
    <x:col min="15" max="15" width="38" hidden="0" customWidth="1"/>
    <x:col min="16" max="16" width="40" hidden="0" customWidth="1"/>
    <x:col min="17" max="17" width="26" hidden="0" customWidth="1"/>
    <x:col min="18" max="18" width="20" hidden="0" customWidth="1"/>
    <x:col min="19" max="19" width="20" hidden="0" customWidth="1"/>
  </x:cols>
  <x:sheetData>
    <x:row r="1">
      <x:c r="A1" s="3" t="str">
        <x:v>Stage 5.5 — Usability Test Script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6" t="str">
        <x:v>10 P0 scenarios cover all four system roles. Script, fixtures, metrics and stop conditions are ready; execution awaits the interactive prototype.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4">
      <x:c r="A4" s="17" t="str">
        <x:v>Test case ID</x:v>
      </x:c>
      <x:c r="B4" s="18" t="str">
        <x:v>Slice</x:v>
      </x:c>
      <x:c r="C4" s="18" t="str">
        <x:v>FLOW ID</x:v>
      </x:c>
      <x:c r="D4" s="18" t="str">
        <x:v>Participant role</x:v>
      </x:c>
      <x:c r="E4" s="18" t="str">
        <x:v>Scenario</x:v>
      </x:c>
      <x:c r="F4" s="18" t="str">
        <x:v>Starting fixture</x:v>
      </x:c>
      <x:c r="G4" s="18" t="str">
        <x:v>Task prompt</x:v>
      </x:c>
      <x:c r="H4" s="18" t="str">
        <x:v>Critical success</x:v>
      </x:c>
      <x:c r="I4" s="18" t="str">
        <x:v>Keyboard checkpoint</x:v>
      </x:c>
      <x:c r="J4" s="18" t="str">
        <x:v>Accessibility checkpoint</x:v>
      </x:c>
      <x:c r="K4" s="18" t="str">
        <x:v>Primary metric</x:v>
      </x:c>
      <x:c r="L4" s="18" t="str">
        <x:v>Secondary metrics</x:v>
      </x:c>
      <x:c r="M4" s="18" t="str">
        <x:v>Stop condition</x:v>
      </x:c>
      <x:c r="N4" s="18" t="str">
        <x:v>Moderator prompt</x:v>
      </x:c>
      <x:c r="O4" s="18" t="str">
        <x:v>Evidence capture</x:v>
      </x:c>
      <x:c r="P4" s="18" t="str">
        <x:v>Pass threshold</x:v>
      </x:c>
      <x:c r="Q4" s="18" t="str">
        <x:v>Design dependency</x:v>
      </x:c>
      <x:c r="R4" s="18" t="str">
        <x:v>Script status</x:v>
      </x:c>
      <x:c r="S4" s="19" t="str">
        <x:v>Execution status</x:v>
      </x:c>
    </x:row>
    <x:row r="5">
      <x:c r="A5" s="73" t="str">
        <x:v>UT-01</x:v>
      </x:c>
      <x:c r="B5" s="23" t="str">
        <x:v>VS-01 Auth &amp; Bootstrap</x:v>
      </x:c>
      <x:c r="C5" s="23" t="str">
        <x:v>FLOW-001</x:v>
      </x:c>
      <x:c r="D5" s="23" t="str">
        <x:v>Admin</x:v>
      </x:c>
      <x:c r="E5" s="23" t="str">
        <x:v>Первый вход</x:v>
      </x:c>
      <x:c r="F5" s="23" t="str">
        <x:v>First-run Windows client; reachable approved LAN endpoint; valid employee credentials; empty authorized cache</x:v>
      </x:c>
      <x:c r="G5" s="23" t="str">
        <x:v>Выполните сценарий «Первый вход» так, как сделали бы это в обычной работе. Не используйте подсказки модератора без необходимости.</x:v>
      </x:c>
      <x:c r="H5" s="23" t="str">
        <x:v>Configure/verify endpoint when required → authenticate → bootstrap authorized data → land in Shell/Today without stale unauthorized content</x:v>
      </x:c>
      <x:c r="I5" s="23" t="str">
        <x:v>Tab/Shift+Tab through endpoint and sign-in; Enter submits; Esc closes non-blocking dialog; focus returns to failing field or first actionable recovery</x:v>
      </x:c>
      <x:c r="J5" s="23" t="str">
        <x:v>Focus order/return; UIA names/roles/states; non-color semantics; Narrator/NVDA script; 200% scaling</x:v>
      </x:c>
      <x:c r="K5" s="23" t="str">
        <x:v>Task completion without critical error</x:v>
      </x:c>
      <x:c r="L5" s="23" t="str">
        <x:v>Time on task; wrong turns; help requests; confidence 1–5; focus/announcement defects</x:v>
      </x:c>
      <x:c r="M5" s="23" t="str">
        <x:v>Critical data-loss/security misunderstanding, unrecoverable focus trap or participant cannot proceed after two neutral prompts</x:v>
      </x:c>
      <x:c r="N5" s="23" t="str">
        <x:v>Что вы ожидаете на следующем шаге и что подтверждает успешное завершение?</x:v>
      </x:c>
      <x:c r="O5" s="23" t="str">
        <x:v>Screen/audio notes; event timestamps; observed path; errors; quotes; severity; role/fixture version</x:v>
      </x:c>
      <x:c r="P5" s="23" t="str">
        <x:v>Completion by intended role; no Critical/High usability or accessibility finding; authoritative outcome understood</x:v>
      </x:c>
      <x:c r="Q5" s="23" t="str">
        <x:v>Interactive prototype after VIS-001</x:v>
      </x:c>
      <x:c r="R5" s="23" t="str">
        <x:v>Test contract ready</x:v>
      </x:c>
      <x:c r="S5" s="26" t="str">
        <x:v>Pending prototype</x:v>
      </x:c>
    </x:row>
    <x:row r="6">
      <x:c r="A6" s="73" t="str">
        <x:v>UT-02</x:v>
      </x:c>
      <x:c r="B6" s="23" t="str">
        <x:v>VS-01 Auth &amp; Bootstrap</x:v>
      </x:c>
      <x:c r="C6" s="23" t="str">
        <x:v>FLOW-002</x:v>
      </x:c>
      <x:c r="D6" s="23" t="str">
        <x:v>Observer</x:v>
      </x:c>
      <x:c r="E6" s="23" t="str">
        <x:v>Обычный вход</x:v>
      </x:c>
      <x:c r="F6" s="23" t="str">
        <x:v>Previously signed-in employee; valid refresh session; populated authorized cache</x:v>
      </x:c>
      <x:c r="G6" s="23" t="str">
        <x:v>Выполните сценарий «Обычный вход» так, как сделали бы это в обычной работе. Не используйте подсказки модератора без необходимости.</x:v>
      </x:c>
      <x:c r="H6" s="23" t="str">
        <x:v>Refresh session → restore authorized Shell and cache → land on last safe context without exposing stale unauthorized data</x:v>
      </x:c>
      <x:c r="I6" s="23" t="str">
        <x:v>No pointer required; focus restores to safe Shell target after session refresh</x:v>
      </x:c>
      <x:c r="J6" s="23" t="str">
        <x:v>Focus order/return; UIA names/roles/states; non-color semantics; Narrator/NVDA script; 200% scaling</x:v>
      </x:c>
      <x:c r="K6" s="23" t="str">
        <x:v>Task completion without critical error</x:v>
      </x:c>
      <x:c r="L6" s="23" t="str">
        <x:v>Time on task; wrong turns; help requests; confidence 1–5; focus/announcement defects</x:v>
      </x:c>
      <x:c r="M6" s="23" t="str">
        <x:v>Critical data-loss/security misunderstanding, unrecoverable focus trap or participant cannot proceed after two neutral prompts</x:v>
      </x:c>
      <x:c r="N6" s="23" t="str">
        <x:v>Что вы ожидаете на следующем шаге и что подтверждает успешное завершение?</x:v>
      </x:c>
      <x:c r="O6" s="23" t="str">
        <x:v>Screen/audio notes; event timestamps; observed path; errors; quotes; severity; role/fixture version</x:v>
      </x:c>
      <x:c r="P6" s="23" t="str">
        <x:v>Completion by intended role; no Critical/High usability or accessibility finding; authoritative outcome understood</x:v>
      </x:c>
      <x:c r="Q6" s="23" t="str">
        <x:v>Interactive prototype after VIS-001</x:v>
      </x:c>
      <x:c r="R6" s="23" t="str">
        <x:v>Test contract ready</x:v>
      </x:c>
      <x:c r="S6" s="26" t="str">
        <x:v>Pending prototype</x:v>
      </x:c>
    </x:row>
    <x:row r="7">
      <x:c r="A7" s="73" t="str">
        <x:v>UT-03</x:v>
      </x:c>
      <x:c r="B7" s="23" t="str">
        <x:v>VS-02 Task Creation</x:v>
      </x:c>
      <x:c r="C7" s="23" t="str">
        <x:v>FLOW-004</x:v>
      </x:c>
      <x:c r="D7" s="23" t="str">
        <x:v>Manager</x:v>
      </x:c>
      <x:c r="E7" s="23" t="str">
        <x:v>Создание задачи</x:v>
      </x:c>
      <x:c r="F7" s="23" t="str">
        <x:v>Authenticated user with Task create capability; populated Today/Tasks data</x:v>
      </x:c>
      <x:c r="G7" s="23" t="str">
        <x:v>Выполните сценарий «Создание задачи» так, как сделали бы это в обычной работе. Не используйте подсказки модератора без необходимости.</x:v>
      </x:c>
      <x:c r="H7" s="23" t="str">
        <x:v>Open editor → validate required fields → create versioned Task → show authoritative result and return focus deterministically</x:v>
      </x:c>
      <x:c r="I7" s="23" t="str">
        <x:v>Tab/Shift+Tab across form; picker navigation with arrows; Enter confirms; Esc preserves draft/returns focus</x:v>
      </x:c>
      <x:c r="J7" s="23" t="str">
        <x:v>Focus order/return; UIA names/roles/states; non-color semantics; Narrator/NVDA script; 200% scaling</x:v>
      </x:c>
      <x:c r="K7" s="23" t="str">
        <x:v>Task completion without critical error</x:v>
      </x:c>
      <x:c r="L7" s="23" t="str">
        <x:v>Time on task; wrong turns; help requests; confidence 1–5; focus/announcement defects</x:v>
      </x:c>
      <x:c r="M7" s="23" t="str">
        <x:v>Critical data-loss/security misunderstanding, unrecoverable focus trap or participant cannot proceed after two neutral prompts</x:v>
      </x:c>
      <x:c r="N7" s="23" t="str">
        <x:v>Какие поля кажутся обязательными и понятно ли, что будет создано после подтверждения?</x:v>
      </x:c>
      <x:c r="O7" s="23" t="str">
        <x:v>Screen/audio notes; event timestamps; observed path; errors; quotes; severity; role/fixture version</x:v>
      </x:c>
      <x:c r="P7" s="23" t="str">
        <x:v>Completion by intended role; no Critical/High usability or accessibility finding; authoritative outcome understood</x:v>
      </x:c>
      <x:c r="Q7" s="23" t="str">
        <x:v>Interactive prototype after VIS-001</x:v>
      </x:c>
      <x:c r="R7" s="23" t="str">
        <x:v>Test contract ready</x:v>
      </x:c>
      <x:c r="S7" s="26" t="str">
        <x:v>Pending prototype</x:v>
      </x:c>
    </x:row>
    <x:row r="8">
      <x:c r="A8" s="73" t="str">
        <x:v>UT-04</x:v>
      </x:c>
      <x:c r="B8" s="23" t="str">
        <x:v>VS-02 Task Creation</x:v>
      </x:c>
      <x:c r="C8" s="23" t="str">
        <x:v>FLOW-005</x:v>
      </x:c>
      <x:c r="D8" s="23" t="str">
        <x:v>Employee</x:v>
      </x:c>
      <x:c r="E8" s="23" t="str">
        <x:v>Быстрое создание задачи</x:v>
      </x:c>
      <x:c r="F8" s="23" t="str">
        <x:v>Authenticated user with quick-create capability; Shell available</x:v>
      </x:c>
      <x:c r="G8" s="23" t="str">
        <x:v>Выполните сценарий «Быстрое создание задачи» так, как сделали бы это в обычной работе. Не используйте подсказки модератора без необходимости.</x:v>
      </x:c>
      <x:c r="H8" s="23" t="str">
        <x:v>Open quick create → enter minimum valid task → submit → confirm creation and preserve keyboard context</x:v>
      </x:c>
      <x:c r="I8" s="23" t="str">
        <x:v>Shortcut opens quick create; Enter submits valid minimum; Esc closes and returns focus to invocation target</x:v>
      </x:c>
      <x:c r="J8" s="23" t="str">
        <x:v>Focus order/return; UIA names/roles/states; non-color semantics; Narrator/NVDA script; 200% scaling</x:v>
      </x:c>
      <x:c r="K8" s="23" t="str">
        <x:v>Task completion without critical error</x:v>
      </x:c>
      <x:c r="L8" s="23" t="str">
        <x:v>Time on task; wrong turns; help requests; confidence 1–5; focus/announcement defects</x:v>
      </x:c>
      <x:c r="M8" s="23" t="str">
        <x:v>Critical data-loss/security misunderstanding, unrecoverable focus trap or participant cannot proceed after two neutral prompts</x:v>
      </x:c>
      <x:c r="N8" s="23" t="str">
        <x:v>Какие поля кажутся обязательными и понятно ли, что будет создано после подтверждения?</x:v>
      </x:c>
      <x:c r="O8" s="23" t="str">
        <x:v>Screen/audio notes; event timestamps; observed path; errors; quotes; severity; role/fixture version</x:v>
      </x:c>
      <x:c r="P8" s="23" t="str">
        <x:v>Completion by intended role; no Critical/High usability or accessibility finding; authoritative outcome understood</x:v>
      </x:c>
      <x:c r="Q8" s="23" t="str">
        <x:v>Interactive prototype after VIS-001</x:v>
      </x:c>
      <x:c r="R8" s="23" t="str">
        <x:v>Test contract ready</x:v>
      </x:c>
      <x:c r="S8" s="26" t="str">
        <x:v>Pending prototype</x:v>
      </x:c>
    </x:row>
    <x:row r="9">
      <x:c r="A9" s="73" t="str">
        <x:v>UT-05</x:v>
      </x:c>
      <x:c r="B9" s="23" t="str">
        <x:v>VS-03 Search &amp; Redaction</x:v>
      </x:c>
      <x:c r="C9" s="23" t="str">
        <x:v>FLOW-019</x:v>
      </x:c>
      <x:c r="D9" s="23" t="str">
        <x:v>Observer</x:v>
      </x:c>
      <x:c r="E9" s="23" t="str">
        <x:v>Глобальный поиск</x:v>
      </x:c>
      <x:c r="F9" s="23" t="str">
        <x:v>Authenticated user; mixed task/project/employee results; at least one redacted or unavailable employee target</x:v>
      </x:c>
      <x:c r="G9" s="23" t="str">
        <x:v>Выполните сценарий «Глобальный поиск» так, как сделали бы это в обычной работе. Не используйте подсказки модератора без необходимости.</x:v>
      </x:c>
      <x:c r="H9" s="23" t="str">
        <x:v>Enter query → navigate grouped results by keyboard → show redaction/unavailable semantics → open only authorized target</x:v>
      </x:c>
      <x:c r="I9" s="23" t="str">
        <x:v>Shortcut focuses search; Up/Down navigates groups/results; Enter opens; Esc clears/closes in deterministic order</x:v>
      </x:c>
      <x:c r="J9" s="23" t="str">
        <x:v>Focus order/return; UIA names/roles/states; non-color semantics; Narrator/NVDA script; 200% scaling</x:v>
      </x:c>
      <x:c r="K9" s="23" t="str">
        <x:v>Task completion without critical error</x:v>
      </x:c>
      <x:c r="L9" s="23" t="str">
        <x:v>Time on task; wrong turns; help requests; confidence 1–5; focus/announcement defects</x:v>
      </x:c>
      <x:c r="M9" s="23" t="str">
        <x:v>Critical data-loss/security misunderstanding, unrecoverable focus trap or participant cannot proceed after two neutral prompts</x:v>
      </x:c>
      <x:c r="N9" s="23" t="str">
        <x:v>Что вы ожидаете увидеть при ограниченном доступе к сотруднику? Что в интерфейсе объясняет отсутствие данных?</x:v>
      </x:c>
      <x:c r="O9" s="23" t="str">
        <x:v>Screen/audio notes; event timestamps; observed path; errors; quotes; severity; role/fixture version</x:v>
      </x:c>
      <x:c r="P9" s="23" t="str">
        <x:v>Completion by intended role; no Critical/High usability or accessibility finding; authoritative outcome understood</x:v>
      </x:c>
      <x:c r="Q9" s="23" t="str">
        <x:v>Interactive prototype after VIS-001</x:v>
      </x:c>
      <x:c r="R9" s="23" t="str">
        <x:v>Test contract ready</x:v>
      </x:c>
      <x:c r="S9" s="26" t="str">
        <x:v>Pending prototype</x:v>
      </x:c>
    </x:row>
    <x:row r="10">
      <x:c r="A10" s="73" t="str">
        <x:v>UT-06</x:v>
      </x:c>
      <x:c r="B10" s="23" t="str">
        <x:v>VS-04 Resilience &amp; Conflict</x:v>
      </x:c>
      <x:c r="C10" s="23" t="str">
        <x:v>FLOW-022</x:v>
      </x:c>
      <x:c r="D10" s="23" t="str">
        <x:v>Employee</x:v>
      </x:c>
      <x:c r="E10" s="23" t="str">
        <x:v>Потеря сервера</x:v>
      </x:c>
      <x:c r="F10" s="23" t="str">
        <x:v>Authenticated user with populated cache; server becomes unavailable during normal work</x:v>
      </x:c>
      <x:c r="G10" s="23" t="str">
        <x:v>Выполните сценарий «Потеря сервера» так, как сделали бы это в обычной работе. Не используйте подсказки модератора без необходимости.</x:v>
      </x:c>
      <x:c r="H10" s="23" t="str">
        <x:v>Detect outage → announce connection loss → switch to honest read-only cache mode → expose diagnostics/retry without accepting writes</x:v>
      </x:c>
      <x:c r="I10" s="23" t="str">
        <x:v>Banner/status reachable without focus theft; retry/diagnostics keyboard operable</x:v>
      </x:c>
      <x:c r="J10" s="23" t="str">
        <x:v>Focus order/return; UIA names/roles/states; non-color semantics; Narrator/NVDA script; 200% scaling</x:v>
      </x:c>
      <x:c r="K10" s="23" t="str">
        <x:v>Task completion without critical error</x:v>
      </x:c>
      <x:c r="L10" s="23" t="str">
        <x:v>Time on task; wrong turns; help requests; confidence 1–5; focus/announcement defects</x:v>
      </x:c>
      <x:c r="M10" s="23" t="str">
        <x:v>Critical data-loss/security misunderstanding, unrecoverable focus trap or participant cannot proceed after two neutral prompts</x:v>
      </x:c>
      <x:c r="N10" s="23" t="str">
        <x:v>Как вы понимаете текущее качество соединения и можно ли сейчас безопасно изменять данные?</x:v>
      </x:c>
      <x:c r="O10" s="23" t="str">
        <x:v>Screen/audio notes; event timestamps; observed path; errors; quotes; severity; role/fixture version</x:v>
      </x:c>
      <x:c r="P10" s="23" t="str">
        <x:v>Completion by intended role; no Critical/High usability or accessibility finding; authoritative outcome understood</x:v>
      </x:c>
      <x:c r="Q10" s="23" t="str">
        <x:v>Interactive prototype after VIS-001</x:v>
      </x:c>
      <x:c r="R10" s="23" t="str">
        <x:v>Test contract ready</x:v>
      </x:c>
      <x:c r="S10" s="26" t="str">
        <x:v>Pending prototype</x:v>
      </x:c>
    </x:row>
    <x:row r="11">
      <x:c r="A11" s="73" t="str">
        <x:v>UT-07</x:v>
      </x:c>
      <x:c r="B11" s="23" t="str">
        <x:v>VS-04 Resilience &amp; Conflict</x:v>
      </x:c>
      <x:c r="C11" s="23" t="str">
        <x:v>FLOW-023</x:v>
      </x:c>
      <x:c r="D11" s="23" t="str">
        <x:v>Observer</x:v>
      </x:c>
      <x:c r="E11" s="23" t="str">
        <x:v>Работа в read-only cache</x:v>
      </x:c>
      <x:c r="F11" s="23" t="str">
        <x:v>Server unavailable; authorized cache available; business writes must be prevented</x:v>
      </x:c>
      <x:c r="G11" s="23" t="str">
        <x:v>Выполните сценарий «Работа в read-only cache» так, как сделали бы это в обычной работе. Не используйте подсказки модератора без необходимости.</x:v>
      </x:c>
      <x:c r="H11" s="23" t="str">
        <x:v>Browse authorized cached data → disable prohibited writes with reasons → preserve selection/focus and disclose staleness</x:v>
      </x:c>
      <x:c r="I11" s="23" t="str">
        <x:v>Disabled actions expose reason without dead-end focus; list and inspector remain keyboard navigable</x:v>
      </x:c>
      <x:c r="J11" s="23" t="str">
        <x:v>Focus order/return; UIA names/roles/states; non-color semantics; Narrator/NVDA script; 200% scaling</x:v>
      </x:c>
      <x:c r="K11" s="23" t="str">
        <x:v>Task completion without critical error</x:v>
      </x:c>
      <x:c r="L11" s="23" t="str">
        <x:v>Time on task; wrong turns; help requests; confidence 1–5; focus/announcement defects</x:v>
      </x:c>
      <x:c r="M11" s="23" t="str">
        <x:v>Critical data-loss/security misunderstanding, unrecoverable focus trap or participant cannot proceed after two neutral prompts</x:v>
      </x:c>
      <x:c r="N11" s="23" t="str">
        <x:v>Как вы понимаете текущее качество соединения и можно ли сейчас безопасно изменять данные?</x:v>
      </x:c>
      <x:c r="O11" s="23" t="str">
        <x:v>Screen/audio notes; event timestamps; observed path; errors; quotes; severity; role/fixture version</x:v>
      </x:c>
      <x:c r="P11" s="23" t="str">
        <x:v>Completion by intended role; no Critical/High usability or accessibility finding; authoritative outcome understood</x:v>
      </x:c>
      <x:c r="Q11" s="23" t="str">
        <x:v>Interactive prototype after VIS-001</x:v>
      </x:c>
      <x:c r="R11" s="23" t="str">
        <x:v>Test contract ready</x:v>
      </x:c>
      <x:c r="S11" s="26" t="str">
        <x:v>Pending prototype</x:v>
      </x:c>
    </x:row>
    <x:row r="12">
      <x:c r="A12" s="73" t="str">
        <x:v>UT-08</x:v>
      </x:c>
      <x:c r="B12" s="23" t="str">
        <x:v>VS-04 Resilience &amp; Conflict</x:v>
      </x:c>
      <x:c r="C12" s="23" t="str">
        <x:v>FLOW-024</x:v>
      </x:c>
      <x:c r="D12" s="23" t="str">
        <x:v>Manager</x:v>
      </x:c>
      <x:c r="E12" s="23" t="str">
        <x:v>Восстановление соединения</x:v>
      </x:c>
      <x:c r="F12" s="23" t="str">
        <x:v>Client in read-only/reconnecting mode; server returns; cursor and scope require validation</x:v>
      </x:c>
      <x:c r="G12" s="23" t="str">
        <x:v>Выполните сценарий «Восстановление соединения» так, как сделали бы это в обычной работе. Не используйте подсказки модератора без необходимости.</x:v>
      </x:c>
      <x:c r="H12" s="23" t="str">
        <x:v>Reconnect → authenticate/synchronize → validate cursor/scope → refresh content → restore write capability only after authoritative readiness</x:v>
      </x:c>
      <x:c r="I12" s="23" t="str">
        <x:v>Reconnection announcements do not steal focus; refreshed target remains deterministic</x:v>
      </x:c>
      <x:c r="J12" s="23" t="str">
        <x:v>Focus order/return; UIA names/roles/states; non-color semantics; Narrator/NVDA script; 200% scaling</x:v>
      </x:c>
      <x:c r="K12" s="23" t="str">
        <x:v>Task completion without critical error</x:v>
      </x:c>
      <x:c r="L12" s="23" t="str">
        <x:v>Time on task; wrong turns; help requests; confidence 1–5; focus/announcement defects</x:v>
      </x:c>
      <x:c r="M12" s="23" t="str">
        <x:v>Critical data-loss/security misunderstanding, unrecoverable focus trap or participant cannot proceed after two neutral prompts</x:v>
      </x:c>
      <x:c r="N12" s="23" t="str">
        <x:v>Как вы понимаете текущее качество соединения и можно ли сейчас безопасно изменять данные?</x:v>
      </x:c>
      <x:c r="O12" s="23" t="str">
        <x:v>Screen/audio notes; event timestamps; observed path; errors; quotes; severity; role/fixture version</x:v>
      </x:c>
      <x:c r="P12" s="23" t="str">
        <x:v>Completion by intended role; no Critical/High usability or accessibility finding; authoritative outcome understood</x:v>
      </x:c>
      <x:c r="Q12" s="23" t="str">
        <x:v>Interactive prototype after VIS-001</x:v>
      </x:c>
      <x:c r="R12" s="23" t="str">
        <x:v>Test contract ready</x:v>
      </x:c>
      <x:c r="S12" s="26" t="str">
        <x:v>Pending prototype</x:v>
      </x:c>
    </x:row>
    <x:row r="13">
      <x:c r="A13" s="73" t="str">
        <x:v>UT-09</x:v>
      </x:c>
      <x:c r="B13" s="23" t="str">
        <x:v>VS-04 Resilience &amp; Conflict</x:v>
      </x:c>
      <x:c r="C13" s="23" t="str">
        <x:v>FLOW-025</x:v>
      </x:c>
      <x:c r="D13" s="23" t="str">
        <x:v>Manager</x:v>
      </x:c>
      <x:c r="E13" s="23" t="str">
        <x:v>Optimistic conflict</x:v>
      </x:c>
      <x:c r="F13" s="23" t="str">
        <x:v>Editable task with local draft; server version changes before save</x:v>
      </x:c>
      <x:c r="G13" s="23" t="str">
        <x:v>Выполните сценарий «Optimistic conflict» так, как сделали бы это в обычной работе. Не используйте подсказки модератора без необходимости.</x:v>
      </x:c>
      <x:c r="H13" s="23" t="str">
        <x:v>Detect version conflict → preserve local draft → explain conflict → allow reload/compare/reapply/discard only where authorized</x:v>
      </x:c>
      <x:c r="I13" s="23" t="str">
        <x:v>Conflict actions and compare content are fully keyboard reachable; closing returns to preserved draft</x:v>
      </x:c>
      <x:c r="J13" s="23" t="str">
        <x:v>Focus order/return; UIA names/roles/states; non-color semantics; Narrator/NVDA script; 200% scaling</x:v>
      </x:c>
      <x:c r="K13" s="23" t="str">
        <x:v>Task completion without critical error</x:v>
      </x:c>
      <x:c r="L13" s="23" t="str">
        <x:v>Time on task; wrong turns; help requests; confidence 1–5; focus/announcement defects</x:v>
      </x:c>
      <x:c r="M13" s="23" t="str">
        <x:v>Critical data-loss/security misunderstanding, unrecoverable focus trap or participant cannot proceed after two neutral prompts</x:v>
      </x:c>
      <x:c r="N13" s="23" t="str">
        <x:v>Что произошло с вашей версией задачи и какой вариант восстановления вы считаете безопасным?</x:v>
      </x:c>
      <x:c r="O13" s="23" t="str">
        <x:v>Screen/audio notes; event timestamps; observed path; errors; quotes; severity; role/fixture version</x:v>
      </x:c>
      <x:c r="P13" s="23" t="str">
        <x:v>Completion by intended role; no Critical/High usability or accessibility finding; authoritative outcome understood</x:v>
      </x:c>
      <x:c r="Q13" s="23" t="str">
        <x:v>Interactive prototype after VIS-001</x:v>
      </x:c>
      <x:c r="R13" s="23" t="str">
        <x:v>Test contract ready</x:v>
      </x:c>
      <x:c r="S13" s="26" t="str">
        <x:v>Pending prototype</x:v>
      </x:c>
    </x:row>
    <x:row r="14">
      <x:c r="A14" s="74" t="str">
        <x:v>UT-10</x:v>
      </x:c>
      <x:c r="B14" s="30" t="str">
        <x:v>VS-02 Task Creation</x:v>
      </x:c>
      <x:c r="C14" s="30" t="str">
        <x:v>FLOW-034</x:v>
      </x:c>
      <x:c r="D14" s="30" t="str">
        <x:v>Employee</x:v>
      </x:c>
      <x:c r="E14" s="30" t="str">
        <x:v>Inbox capture и conversion</x:v>
      </x:c>
      <x:c r="F14" s="30" t="str">
        <x:v>Authenticated user; Inbox capture exists and can be converted to a full task</x:v>
      </x:c>
      <x:c r="G14" s="30" t="str">
        <x:v>Выполните сценарий «Inbox capture и conversion» так, как сделали бы это в обычной работе. Не используйте подсказки модератора без необходимости.</x:v>
      </x:c>
      <x:c r="H14" s="30" t="str">
        <x:v>Capture Inbox item → open conversion path → add required task fields → create Task and resolve source Inbox item deterministically</x:v>
      </x:c>
      <x:c r="I14" s="30" t="str">
        <x:v>Capture and conversion complete with keyboard; validation focuses first invalid field; success returns to source context</x:v>
      </x:c>
      <x:c r="J14" s="30" t="str">
        <x:v>Focus order/return; UIA names/roles/states; non-color semantics; Narrator/NVDA script; 200% scaling</x:v>
      </x:c>
      <x:c r="K14" s="30" t="str">
        <x:v>Task completion without critical error</x:v>
      </x:c>
      <x:c r="L14" s="30" t="str">
        <x:v>Time on task; wrong turns; help requests; confidence 1–5; focus/announcement defects</x:v>
      </x:c>
      <x:c r="M14" s="30" t="str">
        <x:v>Critical data-loss/security misunderstanding, unrecoverable focus trap or participant cannot proceed after two neutral prompts</x:v>
      </x:c>
      <x:c r="N14" s="30" t="str">
        <x:v>Какие поля кажутся обязательными и понятно ли, что будет создано после подтверждения?</x:v>
      </x:c>
      <x:c r="O14" s="30" t="str">
        <x:v>Screen/audio notes; event timestamps; observed path; errors; quotes; severity; role/fixture version</x:v>
      </x:c>
      <x:c r="P14" s="30" t="str">
        <x:v>Completion by intended role; no Critical/High usability or accessibility finding; authoritative outcome understood</x:v>
      </x:c>
      <x:c r="Q14" s="30" t="str">
        <x:v>Interactive prototype after VIS-001</x:v>
      </x:c>
      <x:c r="R14" s="30" t="str">
        <x:v>Test contract ready</x:v>
      </x:c>
      <x:c r="S14" s="33" t="str">
        <x:v>Pending prototype</x:v>
      </x:c>
    </x:row>
  </x:sheetData>
  <x:mergeCells>
    <x:mergeCell ref="A1:S2"/>
    <x:mergeCell ref="A3:S3"/>
  </x:mergeCells>
  <x:conditionalFormatting sqref="R5:R14">
    <x:cfRule type="containsText" dxfId="33" priority="1" operator="containsText" text="ready"/>
  </x:conditionalFormatting>
  <x:conditionalFormatting sqref="S5:S14">
    <x:cfRule type="containsText" dxfId="34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08bbf20673f4416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14" hidden="0" customWidth="1"/>
    <x:col min="5" max="5" width="44" hidden="0" customWidth="1"/>
    <x:col min="6" max="6" width="14" hidden="0" customWidth="1"/>
    <x:col min="7" max="7" width="44" hidden="0" customWidth="1"/>
    <x:col min="8" max="8" width="14" hidden="0" customWidth="1"/>
    <x:col min="9" max="9" width="44" hidden="0" customWidth="1"/>
    <x:col min="10" max="10" width="38" hidden="0" customWidth="1"/>
  </x:cols>
  <x:sheetData>
    <x:row r="1">
      <x:c r="A1" s="3" t="str">
        <x:v>Stage 5.1 — VIS-001 Decision Scorecard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 t="str">
        <x:v>Evidence-based comparison of exactly three generated directions. Scores are 1–5; weights total 100%. Recommendation assists but does not replace Product owner selection.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7" t="str">
        <x:v>Criterion ID</x:v>
      </x:c>
      <x:c r="B4" s="18" t="str">
        <x:v>Criterion</x:v>
      </x:c>
      <x:c r="C4" s="18" t="str">
        <x:v>Weight</x:v>
      </x:c>
      <x:c r="D4" s="18" t="str">
        <x:v>Direction 1 score</x:v>
      </x:c>
      <x:c r="E4" s="18" t="str">
        <x:v>Direction 1 evidence</x:v>
      </x:c>
      <x:c r="F4" s="18" t="str">
        <x:v>Direction 2 score</x:v>
      </x:c>
      <x:c r="G4" s="18" t="str">
        <x:v>Direction 2 evidence</x:v>
      </x:c>
      <x:c r="H4" s="18" t="str">
        <x:v>Direction 3 score</x:v>
      </x:c>
      <x:c r="I4" s="18" t="str">
        <x:v>Direction 3 evidence</x:v>
      </x:c>
      <x:c r="J4" s="19" t="str">
        <x:v>Canonical basis</x:v>
      </x:c>
    </x:row>
    <x:row r="5">
      <x:c r="A5" s="73" t="str">
        <x:v>VIS-C01</x:v>
      </x:c>
      <x:c r="B5" s="23" t="str">
        <x:v>Daily task management fit</x:v>
      </x:c>
      <x:c r="C5" s="25" t="n">
        <x:v>0.2</x:v>
      </x:c>
      <x:c r="D5" s="23" t="n">
        <x:v>5</x:v>
      </x:c>
      <x:c r="E5" s="23" t="str">
        <x:v>Today-first list, overdue/today/tomorrow grouping, persistent inspector and clear create action</x:v>
      </x:c>
      <x:c r="F5" s="23" t="n">
        <x:v>5</x:v>
      </x:c>
      <x:c r="G5" s="23" t="str">
        <x:v>Strong day-planning timeline plus unscheduled/overdue list and task details</x:v>
      </x:c>
      <x:c r="H5" s="23" t="n">
        <x:v>4</x:v>
      </x:c>
      <x:c r="I5" s="23" t="str">
        <x:v>Fast queue triage and batch-oriented work; less explicit time-planning context</x:v>
      </x:c>
      <x:c r="J5" s="26" t="str">
        <x:v>Today, Tasks, Inbox and Calendar are primary daily-work surfaces</x:v>
      </x:c>
    </x:row>
    <x:row r="6">
      <x:c r="A6" s="73" t="str">
        <x:v>VIS-C02</x:v>
      </x:c>
      <x:c r="B6" s="23" t="str">
        <x:v>Desktop density and scanability</x:v>
      </x:c>
      <x:c r="C6" s="25" t="n">
        <x:v>0.15</x:v>
      </x:c>
      <x:c r="D6" s="23" t="n">
        <x:v>4</x:v>
      </x:c>
      <x:c r="E6" s="23" t="str">
        <x:v>Balanced table density with stable columns and a readable details rail</x:v>
      </x:c>
      <x:c r="F6" s="23" t="n">
        <x:v>3</x:v>
      </x:c>
      <x:c r="G6" s="23" t="str">
        <x:v>Timeline and two stacked right panels consume space; more competing reading axes</x:v>
      </x:c>
      <x:c r="H6" s="23" t="n">
        <x:v>5</x:v>
      </x:c>
      <x:c r="I6" s="23" t="str">
        <x:v>Highest information density, compact queue and strong keyboard-oriented scanning</x:v>
      </x:c>
      <x:c r="J6" s="26" t="str">
        <x:v>Windows desktop organizer with large lists, Russian text and 100–200% scaling</x:v>
      </x:c>
    </x:row>
    <x:row r="7">
      <x:c r="A7" s="73" t="str">
        <x:v>VIS-C03</x:v>
      </x:c>
      <x:c r="B7" s="23" t="str">
        <x:v>Reuse across 128 SCR surfaces</x:v>
      </x:c>
      <x:c r="C7" s="25" t="n">
        <x:v>0.15</x:v>
      </x:c>
      <x:c r="D7" s="23" t="n">
        <x:v>5</x:v>
      </x:c>
      <x:c r="E7" s="23" t="str">
        <x:v>Generic list-detail shell maps cleanly to Tasks, Projects, CRM, Files, Settings and Admin</x:v>
      </x:c>
      <x:c r="F7" s="23" t="n">
        <x:v>3</x:v>
      </x:c>
      <x:c r="G7" s="23" t="str">
        <x:v>Timeline-first composition is excellent for Today/Calendar but less natural for many admin/editor surfaces</x:v>
      </x:c>
      <x:c r="H7" s="23" t="n">
        <x:v>4</x:v>
      </x:c>
      <x:c r="I7" s="23" t="str">
        <x:v>Dense workbench pattern scales to lists and operations, but requires alternate templates for editors/settings</x:v>
      </x:c>
      <x:c r="J7" s="26" t="str">
        <x:v>128 unique surfaces and 45 shared component families</x:v>
      </x:c>
    </x:row>
    <x:row r="8">
      <x:c r="A8" s="73" t="str">
        <x:v>VIS-C04</x:v>
      </x:c>
      <x:c r="B8" s="23" t="str">
        <x:v>Vertical-slice coverage</x:v>
      </x:c>
      <x:c r="C8" s="25" t="n">
        <x:v>0.15</x:v>
      </x:c>
      <x:c r="D8" s="23" t="n">
        <x:v>5</x:v>
      </x:c>
      <x:c r="E8" s="23" t="str">
        <x:v>List-detail shell supports Auth/Shell, task create/edit, search, read-only and conflict variants</x:v>
      </x:c>
      <x:c r="F8" s="23" t="n">
        <x:v>4</x:v>
      </x:c>
      <x:c r="G8" s="23" t="str">
        <x:v>Covers Today and task details strongly; Auth/Search/Settings need secondary templates</x:v>
      </x:c>
      <x:c r="H8" s="23" t="n">
        <x:v>4</x:v>
      </x:c>
      <x:c r="I8" s="23" t="str">
        <x:v>Supports search, queues and conflict-heavy work well; richer create/edit flows need expanded panels/dialogs</x:v>
      </x:c>
      <x:c r="J8" s="26" t="str">
        <x:v>10 P0 FLOW contracts across Auth, Task, Search and Resilience</x:v>
      </x:c>
    </x:row>
    <x:row r="9">
      <x:c r="A9" s="73" t="str">
        <x:v>VIS-C05</x:v>
      </x:c>
      <x:c r="B9" s="23" t="str">
        <x:v>Accessibility and scaling risk</x:v>
      </x:c>
      <x:c r="C9" s="25" t="n">
        <x:v>0.15</x:v>
      </x:c>
      <x:c r="D9" s="23" t="n">
        <x:v>5</x:v>
      </x:c>
      <x:c r="E9" s="23" t="str">
        <x:v>Clear focus target, moderate density, stable regions and strong text-plus-icon status semantics</x:v>
      </x:c>
      <x:c r="F9" s="23" t="n">
        <x:v>4</x:v>
      </x:c>
      <x:c r="G9" s="23" t="str">
        <x:v>Clear hierarchy, but timeline/current-time line and split content create more navigation/announcement complexity</x:v>
      </x:c>
      <x:c r="H9" s="23" t="n">
        <x:v>3</x:v>
      </x:c>
      <x:c r="I9" s="23" t="str">
        <x:v>Dense rows, toolbar states and compressed detail area increase 200% scaling and focus-order risk</x:v>
      </x:c>
      <x:c r="J9" s="26" t="str">
        <x:v>NFR-002/003/004/005 and Accessibility Baseline 0.1</x:v>
      </x:c>
    </x:row>
    <x:row r="10">
      <x:c r="A10" s="73" t="str">
        <x:v>VIS-C06</x:v>
      </x:c>
      <x:c r="B10" s="23" t="str">
        <x:v>WPF/Windows implementation feasibility</x:v>
      </x:c>
      <x:c r="C10" s="25" t="n">
        <x:v>0.1</x:v>
      </x:c>
      <x:c r="D10" s="23" t="n">
        <x:v>5</x:v>
      </x:c>
      <x:c r="E10" s="23" t="str">
        <x:v>Conventional navigation, virtualized grid/list and inspector are straightforward WPF patterns</x:v>
      </x:c>
      <x:c r="F10" s="23" t="n">
        <x:v>4</x:v>
      </x:c>
      <x:c r="G10" s="23" t="str">
        <x:v>Timeline virtualization, synchronized scrolling and split panes add implementation complexity</x:v>
      </x:c>
      <x:c r="H10" s="23" t="n">
        <x:v>5</x:v>
      </x:c>
      <x:c r="I10" s="23" t="str">
        <x:v>DataGrid-like queue and command surfaces align well with mature WPF controls</x:v>
      </x:c>
      <x:c r="J10" s="26" t="str">
        <x:v>Windows/WPF architecture and large-list virtualization requirements</x:v>
      </x:c>
    </x:row>
    <x:row r="11">
      <x:c r="A11" s="74" t="str">
        <x:v>VIS-C07</x:v>
      </x:c>
      <x:c r="B11" s="30" t="str">
        <x:v>Resilience and read-only visibility</x:v>
      </x:c>
      <x:c r="C11" s="32" t="n">
        <x:v>0.1</x:v>
      </x:c>
      <x:c r="D11" s="30" t="n">
        <x:v>5</x:v>
      </x:c>
      <x:c r="E11" s="30" t="str">
        <x:v>Persistent connection/read-only footer and stable inspector make system mode continuously visible</x:v>
      </x:c>
      <x:c r="F11" s="30" t="n">
        <x:v>4</x:v>
      </x:c>
      <x:c r="G11" s="30" t="str">
        <x:v>Top connection status and bottom read-only bar are clear, though distributed across two regions</x:v>
      </x:c>
      <x:c r="H11" s="30" t="n">
        <x:v>4</x:v>
      </x:c>
      <x:c r="I11" s="30" t="str">
        <x:v>Persistent status bar is strong; dense command area needs careful disabled-reason presentation</x:v>
      </x:c>
      <x:c r="J11" s="33" t="str">
        <x:v>Server-authoritative online writes, read-only cache and published resilience states</x:v>
      </x:c>
    </x:row>
    <x:row r="13">
      <x:c r="A13" s="10" t="str">
        <x:v>Weighted result</x:v>
      </x:c>
      <x:c r="B13" s="10"/>
      <x:c r="C13" s="10"/>
      <x:c r="D13" s="10"/>
      <x:c r="E13" s="10"/>
      <x:c r="F13" s="10"/>
      <x:c r="G13" s="10"/>
      <x:c r="H13" s="10"/>
      <x:c r="I13" s="10"/>
      <x:c r="J13" s="10"/>
    </x:row>
    <x:row r="14">
      <x:c r="A14" s="63" t="str">
        <x:v>Direction</x:v>
      </x:c>
      <x:c r="B14" s="63" t="str">
        <x:v>Score</x:v>
      </x:c>
      <x:c r="C14" s="63" t="str">
        <x:v>Primary trade-off</x:v>
      </x:c>
    </x:row>
    <x:row r="15">
      <x:c r="A15" s="64" t="str">
        <x:v>Direction 1</x:v>
      </x:c>
      <x:c r="B15" s="65" t="n">
        <x:f>SUMPRODUCT($C$5:$C$11,$D$5:$D$11)/5</x:f>
        <x:v>0.97</x:v>
      </x:c>
      <x:c r="C15" s="64" t="str">
        <x:v>Best reusable list-detail baseline; calendar-specific depth is secondary</x:v>
      </x:c>
    </x:row>
    <x:row r="16">
      <x:c r="A16" s="64" t="str">
        <x:v>Direction 2</x:v>
      </x:c>
      <x:c r="B16" s="65" t="n">
        <x:f>SUMPRODUCT($C$5:$C$11,$F$5:$F$11)/5</x:f>
        <x:v>0.78</x:v>
      </x:c>
      <x:c r="C16" s="64" t="str">
        <x:v>Best schedule-centric planning; highest cross-surface template cost</x:v>
      </x:c>
    </x:row>
    <x:row r="17">
      <x:c r="A17" s="64" t="str">
        <x:v>Direction 3</x:v>
      </x:c>
      <x:c r="B17" s="65" t="n">
        <x:f>SUMPRODUCT($C$5:$C$11,$H$5:$H$11)/5</x:f>
        <x:v>0.8200000000000001</x:v>
      </x:c>
      <x:c r="C17" s="64" t="str">
        <x:v>Best dense keyboard triage; highest accessibility/scaling risk</x:v>
      </x:c>
    </x:row>
    <x:row r="19">
      <x:c r="A19" s="10" t="str">
        <x:v>Analytical recommendation</x:v>
      </x:c>
      <x:c r="B19" s="10"/>
      <x:c r="C19" s="76" t="str">
        <x:f>IF(B15=MAX(B15:B17),"Direction 1",IF(B16=MAX(B15:B17),"Direction 2","Direction 3"))</x:f>
        <x:v>Direction 1</x:v>
      </x:c>
      <x:c r="D19" s="76"/>
      <x:c r="E19" s="76"/>
      <x:c r="F19" s="76"/>
      <x:c r="G19" s="76"/>
      <x:c r="H19" s="76"/>
      <x:c r="I19" s="76"/>
      <x:c r="J19" s="76"/>
    </x:row>
    <x:row r="21">
      <x:c r="A21" s="79" t="str">
        <x:v>AUTHORITATIVE SELECTION: Direction 2 — Timeline planner. Product owner accepted the higher cross-surface template cost in favor of schedule-centric planning. VIS-001 is closed.</x:v>
      </x:c>
      <x:c r="B21" s="79"/>
      <x:c r="C21" s="79"/>
      <x:c r="D21" s="79"/>
      <x:c r="E21" s="79"/>
      <x:c r="F21" s="79"/>
      <x:c r="G21" s="79"/>
      <x:c r="H21" s="79"/>
      <x:c r="I21" s="79"/>
      <x:c r="J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</x:row>
  </x:sheetData>
  <x:mergeCells>
    <x:mergeCell ref="A1:J2"/>
    <x:mergeCell ref="A3:J3"/>
    <x:mergeCell ref="A13:J13"/>
    <x:mergeCell ref="A19:B19"/>
    <x:mergeCell ref="C19:J19"/>
    <x:mergeCell ref="A21:J22"/>
  </x:mergeCells>
  <x:conditionalFormatting sqref="D5:D11">
    <x:cfRule type="dataBar" priority="1">
      <x:dataBar>
        <x:cfvo type="min"/>
        <x:cfvo type="max"/>
        <x:color rgb="FF246BFD"/>
      </x:dataBar>
      <x:extLst>
        <x:ext xmlns:x14="http://schemas.microsoft.com/office/spreadsheetml/2009/9/main" uri="{B025F937-C7B1-47D3-B67F-A62EFF666E3E}">
          <x14:id>{EE02D54C-C31B-D030-C70F-8A223234A903}</x14:id>
        </x:ext>
      </x:extLst>
    </x:cfRule>
  </x:conditionalFormatting>
  <x:conditionalFormatting sqref="F5:F11">
    <x:cfRule type="dataBar" priority="2">
      <x:dataBar>
        <x:cfvo type="min"/>
        <x:cfvo type="max"/>
        <x:color rgb="FF7C8AA5"/>
      </x:dataBar>
      <x:extLst>
        <x:ext xmlns:x14="http://schemas.microsoft.com/office/spreadsheetml/2009/9/main" uri="{B025F937-C7B1-47D3-B67F-A62EFF666E3E}">
          <x14:id>{D0310FF9-CD72-0A81-AFB8-E375A903FB2B}</x14:id>
        </x:ext>
      </x:extLst>
    </x:cfRule>
  </x:conditionalFormatting>
  <x:conditionalFormatting sqref="H5:H11">
    <x:cfRule type="dataBar" priority="3">
      <x:dataBar>
        <x:cfvo type="min"/>
        <x:cfvo type="max"/>
        <x:color rgb="FF0E8A74"/>
      </x:dataBar>
      <x:extLst>
        <x:ext xmlns:x14="http://schemas.microsoft.com/office/spreadsheetml/2009/9/main" uri="{B025F937-C7B1-47D3-B67F-A62EFF666E3E}">
          <x14:id>{23CD6DF3-FDC3-4669-FADF-7D7A56624787}</x14:id>
        </x:ext>
      </x:extLst>
    </x:cfRule>
  </x:conditionalFormatting>
  <x:conditionalFormatting sqref="B15:B17">
    <x:cfRule type="dataBar" priority="4">
      <x:dataBar>
        <x:cfvo type="min"/>
        <x:cfvo type="max"/>
        <x:color rgb="FF246BFD"/>
      </x:dataBar>
      <x:extLst>
        <x:ext xmlns:x14="http://schemas.microsoft.com/office/spreadsheetml/2009/9/main" uri="{B025F937-C7B1-47D3-B67F-A62EFF666E3E}">
          <x14:id>{9025F664-B7D8-9987-9E43-FF5562CEA415}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54936543b6455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02D54C-C31B-D030-C70F-8A223234A903}">
            <x14:dataBar gradient="1">
              <x14:cfvo type="min"/>
              <x14:cfvo type="max"/>
              <x14:fillColor rgb="FF246BFD"/>
            </x14:dataBar>
          </x14:cfRule>
          <xm:sqref>D5:D11</xm:sqref>
        </x14:conditionalFormatting>
        <x14:conditionalFormatting>
          <x14:cfRule type="dataBar" priority="2" id="{D0310FF9-CD72-0A81-AFB8-E375A903FB2B}">
            <x14:dataBar gradient="1">
              <x14:cfvo type="min"/>
              <x14:cfvo type="max"/>
              <x14:fillColor rgb="FF7C8AA5"/>
            </x14:dataBar>
          </x14:cfRule>
          <xm:sqref>F5:F11</xm:sqref>
        </x14:conditionalFormatting>
        <x14:conditionalFormatting>
          <x14:cfRule type="dataBar" priority="3" id="{23CD6DF3-FDC3-4669-FADF-7D7A56624787}">
            <x14:dataBar gradient="1">
              <x14:cfvo type="min"/>
              <x14:cfvo type="max"/>
              <x14:fillColor rgb="FF0E8A74"/>
            </x14:dataBar>
          </x14:cfRule>
          <xm:sqref>H5:H11</xm:sqref>
        </x14:conditionalFormatting>
        <x14:conditionalFormatting>
          <x14:cfRule type="dataBar" priority="4" id="{9025F664-B7D8-9987-9E43-FF5562CEA415}">
            <x14:dataBar gradient="1">
              <x14:cfvo type="min"/>
              <x14:cfvo type="max"/>
              <x14:fillColor rgb="FF246BFD"/>
            </x14:dataBar>
          </x14:cfRule>
          <xm:sqref>B15:B17</xm:sqref>
        </x14:conditionalFormatting>
      </x14:conditionalFormattings>
    </x:ext>
  </x:extLst>
</x:worksheet>
</file>